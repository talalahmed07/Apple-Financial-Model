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alal/Desktop/"/>
    </mc:Choice>
  </mc:AlternateContent>
  <xr:revisionPtr revIDLastSave="0" documentId="13_ncr:1_{F7BEB4B4-17C9-7A47-8FB5-4150FCCEFC07}" xr6:coauthVersionLast="47" xr6:coauthVersionMax="47" xr10:uidLastSave="{00000000-0000-0000-0000-000000000000}"/>
  <bookViews>
    <workbookView xWindow="0" yWindow="740" windowWidth="29400" windowHeight="18380" tabRatio="500" activeTab="2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 Statement" sheetId="4" r:id="rId4"/>
    <sheet name="DCF Valuation" sheetId="5" r:id="rId5"/>
    <sheet name="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6" l="1"/>
  <c r="I12" i="6"/>
  <c r="G12" i="6"/>
  <c r="C10" i="6"/>
  <c r="D10" i="6"/>
  <c r="E10" i="6"/>
  <c r="F10" i="6"/>
  <c r="G10" i="6"/>
  <c r="H10" i="6"/>
  <c r="I10" i="6"/>
  <c r="B10" i="6"/>
  <c r="C9" i="6"/>
  <c r="D9" i="6"/>
  <c r="E9" i="6"/>
  <c r="F9" i="6"/>
  <c r="G9" i="6"/>
  <c r="H9" i="6"/>
  <c r="I9" i="6"/>
  <c r="B9" i="6"/>
  <c r="C8" i="6"/>
  <c r="D8" i="6"/>
  <c r="E8" i="6"/>
  <c r="F8" i="6"/>
  <c r="G8" i="6"/>
  <c r="H8" i="6"/>
  <c r="I8" i="6"/>
  <c r="B8" i="6"/>
  <c r="C7" i="6"/>
  <c r="D7" i="6"/>
  <c r="E7" i="6"/>
  <c r="F7" i="6"/>
  <c r="G7" i="6"/>
  <c r="H7" i="6"/>
  <c r="I7" i="6"/>
  <c r="B7" i="6"/>
  <c r="C6" i="6"/>
  <c r="D6" i="6"/>
  <c r="E6" i="6"/>
  <c r="F6" i="6"/>
  <c r="G6" i="6"/>
  <c r="H6" i="6"/>
  <c r="I6" i="6"/>
  <c r="B6" i="6"/>
  <c r="C5" i="6"/>
  <c r="D5" i="6"/>
  <c r="E5" i="6"/>
  <c r="F5" i="6"/>
  <c r="G5" i="6"/>
  <c r="H5" i="6"/>
  <c r="I5" i="6"/>
  <c r="B5" i="6"/>
  <c r="B33" i="5"/>
  <c r="B31" i="5"/>
  <c r="B30" i="5"/>
  <c r="B17" i="5"/>
  <c r="B18" i="5" s="1"/>
  <c r="C16" i="5"/>
  <c r="D16" i="5"/>
  <c r="B16" i="5"/>
  <c r="B11" i="5"/>
  <c r="B8" i="5"/>
  <c r="B9" i="5" s="1"/>
  <c r="B6" i="5"/>
  <c r="B12" i="5" s="1"/>
  <c r="H26" i="4"/>
  <c r="I26" i="4"/>
  <c r="G26" i="4"/>
  <c r="G21" i="4"/>
  <c r="H21" i="4" s="1"/>
  <c r="I21" i="4" s="1"/>
  <c r="H20" i="4"/>
  <c r="C20" i="5" s="1"/>
  <c r="I20" i="4"/>
  <c r="D20" i="5" s="1"/>
  <c r="G20" i="4"/>
  <c r="B20" i="5" s="1"/>
  <c r="G7" i="4"/>
  <c r="H7" i="4" s="1"/>
  <c r="I7" i="4" s="1"/>
  <c r="G8" i="3"/>
  <c r="H9" i="4" s="1"/>
  <c r="H22" i="3"/>
  <c r="H12" i="4" s="1"/>
  <c r="I22" i="3"/>
  <c r="G22" i="3"/>
  <c r="G12" i="4" s="1"/>
  <c r="H8" i="3"/>
  <c r="I8" i="3"/>
  <c r="H7" i="3"/>
  <c r="I7" i="3"/>
  <c r="G7" i="3"/>
  <c r="G8" i="4" s="1"/>
  <c r="G27" i="4"/>
  <c r="H27" i="4" s="1"/>
  <c r="I27" i="4" s="1"/>
  <c r="H28" i="4"/>
  <c r="I28" i="4" s="1"/>
  <c r="H29" i="4"/>
  <c r="I29" i="4" s="1"/>
  <c r="H30" i="4"/>
  <c r="I30" i="4" s="1"/>
  <c r="H31" i="4"/>
  <c r="I31" i="4" s="1"/>
  <c r="C22" i="4"/>
  <c r="D22" i="4"/>
  <c r="E22" i="4"/>
  <c r="F22" i="4"/>
  <c r="B22" i="4"/>
  <c r="F27" i="3"/>
  <c r="E27" i="3"/>
  <c r="D27" i="3"/>
  <c r="C27" i="3"/>
  <c r="B27" i="3"/>
  <c r="G25" i="3"/>
  <c r="H25" i="3" s="1"/>
  <c r="I25" i="3" s="1"/>
  <c r="G26" i="3"/>
  <c r="H26" i="3" s="1"/>
  <c r="I26" i="3" s="1"/>
  <c r="G9" i="3"/>
  <c r="H9" i="3" s="1"/>
  <c r="I9" i="3" s="1"/>
  <c r="B7" i="2"/>
  <c r="B11" i="2" s="1"/>
  <c r="B12" i="2" s="1"/>
  <c r="F32" i="4"/>
  <c r="E32" i="4"/>
  <c r="D32" i="4"/>
  <c r="C32" i="4"/>
  <c r="B32" i="4"/>
  <c r="G25" i="4"/>
  <c r="H25" i="4" s="1"/>
  <c r="I25" i="4" s="1"/>
  <c r="G6" i="4"/>
  <c r="H6" i="4" s="1"/>
  <c r="I6" i="4" s="1"/>
  <c r="F39" i="3"/>
  <c r="E39" i="3"/>
  <c r="D39" i="3"/>
  <c r="C39" i="3"/>
  <c r="B39" i="3"/>
  <c r="G38" i="3"/>
  <c r="H38" i="3" s="1"/>
  <c r="I38" i="3" s="1"/>
  <c r="F32" i="3"/>
  <c r="E32" i="3"/>
  <c r="D32" i="3"/>
  <c r="C32" i="3"/>
  <c r="B32" i="3"/>
  <c r="G31" i="3"/>
  <c r="H31" i="3" s="1"/>
  <c r="I31" i="3" s="1"/>
  <c r="G30" i="3"/>
  <c r="H30" i="3" s="1"/>
  <c r="G24" i="3"/>
  <c r="H24" i="3" s="1"/>
  <c r="I24" i="3" s="1"/>
  <c r="G23" i="3"/>
  <c r="H23" i="3" s="1"/>
  <c r="I23" i="3" s="1"/>
  <c r="F17" i="3"/>
  <c r="E17" i="3"/>
  <c r="D17" i="3"/>
  <c r="C17" i="3"/>
  <c r="B17" i="3"/>
  <c r="G16" i="3"/>
  <c r="H16" i="3" s="1"/>
  <c r="I16" i="3" s="1"/>
  <c r="G14" i="3"/>
  <c r="F11" i="3"/>
  <c r="E11" i="3"/>
  <c r="D11" i="3"/>
  <c r="C11" i="3"/>
  <c r="B11" i="3"/>
  <c r="G10" i="3"/>
  <c r="H10" i="3" s="1"/>
  <c r="I10" i="3" s="1"/>
  <c r="G6" i="3"/>
  <c r="H6" i="3" s="1"/>
  <c r="I6" i="3" s="1"/>
  <c r="G20" i="2"/>
  <c r="H20" i="2" s="1"/>
  <c r="I20" i="2" s="1"/>
  <c r="F16" i="2"/>
  <c r="E16" i="2"/>
  <c r="D16" i="2"/>
  <c r="C16" i="2"/>
  <c r="B16" i="2"/>
  <c r="F7" i="2"/>
  <c r="F11" i="2" s="1"/>
  <c r="E7" i="2"/>
  <c r="E11" i="2" s="1"/>
  <c r="D7" i="2"/>
  <c r="D11" i="2" s="1"/>
  <c r="C7" i="2"/>
  <c r="C11" i="2" s="1"/>
  <c r="G6" i="2"/>
  <c r="H6" i="2" s="1"/>
  <c r="I6" i="2" s="1"/>
  <c r="G5" i="2"/>
  <c r="H8" i="4" l="1"/>
  <c r="G9" i="4"/>
  <c r="I9" i="4"/>
  <c r="I12" i="4"/>
  <c r="I13" i="4"/>
  <c r="G37" i="3"/>
  <c r="H37" i="3" s="1"/>
  <c r="I37" i="3" s="1"/>
  <c r="I8" i="4"/>
  <c r="H13" i="4"/>
  <c r="I11" i="4"/>
  <c r="H11" i="4"/>
  <c r="G11" i="4"/>
  <c r="G10" i="4"/>
  <c r="I10" i="4"/>
  <c r="G13" i="4"/>
  <c r="G36" i="3"/>
  <c r="H36" i="3" s="1"/>
  <c r="I36" i="3" s="1"/>
  <c r="I39" i="3" s="1"/>
  <c r="H10" i="4"/>
  <c r="C17" i="5"/>
  <c r="C18" i="5" s="1"/>
  <c r="D17" i="5"/>
  <c r="D18" i="5" s="1"/>
  <c r="G32" i="4"/>
  <c r="G27" i="3"/>
  <c r="F18" i="3"/>
  <c r="E33" i="3"/>
  <c r="E40" i="3" s="1"/>
  <c r="C33" i="3"/>
  <c r="C40" i="3" s="1"/>
  <c r="B18" i="3"/>
  <c r="D18" i="3"/>
  <c r="C18" i="3"/>
  <c r="F33" i="3"/>
  <c r="F40" i="3" s="1"/>
  <c r="B33" i="3"/>
  <c r="B40" i="3" s="1"/>
  <c r="H14" i="3"/>
  <c r="D33" i="3"/>
  <c r="D40" i="3" s="1"/>
  <c r="E18" i="3"/>
  <c r="G7" i="2"/>
  <c r="G15" i="2" s="1"/>
  <c r="B17" i="2"/>
  <c r="B21" i="2" s="1"/>
  <c r="B23" i="2" s="1"/>
  <c r="H32" i="4"/>
  <c r="F12" i="2"/>
  <c r="F17" i="2"/>
  <c r="H32" i="3"/>
  <c r="I30" i="3"/>
  <c r="I32" i="3" s="1"/>
  <c r="C12" i="2"/>
  <c r="C17" i="2"/>
  <c r="D12" i="2"/>
  <c r="D17" i="2"/>
  <c r="E17" i="2"/>
  <c r="E12" i="2"/>
  <c r="H5" i="2"/>
  <c r="I32" i="4"/>
  <c r="H27" i="3"/>
  <c r="G32" i="3"/>
  <c r="G39" i="3" l="1"/>
  <c r="B21" i="5"/>
  <c r="D21" i="5"/>
  <c r="C21" i="5"/>
  <c r="H39" i="3"/>
  <c r="G10" i="2"/>
  <c r="G11" i="2" s="1"/>
  <c r="G12" i="2" s="1"/>
  <c r="G14" i="2"/>
  <c r="G16" i="2" s="1"/>
  <c r="G22" i="4"/>
  <c r="G5" i="4"/>
  <c r="G33" i="3"/>
  <c r="G40" i="3" s="1"/>
  <c r="I14" i="3"/>
  <c r="B18" i="2"/>
  <c r="B24" i="2"/>
  <c r="B4" i="4"/>
  <c r="B14" i="4" s="1"/>
  <c r="I5" i="2"/>
  <c r="I7" i="2" s="1"/>
  <c r="H7" i="2"/>
  <c r="C18" i="2"/>
  <c r="C21" i="2"/>
  <c r="C23" i="2" s="1"/>
  <c r="D18" i="2"/>
  <c r="D21" i="2"/>
  <c r="D23" i="2" s="1"/>
  <c r="H33" i="3"/>
  <c r="E21" i="2"/>
  <c r="E23" i="2" s="1"/>
  <c r="E18" i="2"/>
  <c r="F21" i="2"/>
  <c r="F23" i="2" s="1"/>
  <c r="F18" i="2"/>
  <c r="H40" i="3" l="1"/>
  <c r="B35" i="4"/>
  <c r="B37" i="4" s="1"/>
  <c r="B11" i="6"/>
  <c r="B19" i="5"/>
  <c r="B22" i="5" s="1"/>
  <c r="G15" i="3"/>
  <c r="G17" i="2"/>
  <c r="G18" i="2" s="1"/>
  <c r="I27" i="3"/>
  <c r="I33" i="3" s="1"/>
  <c r="I40" i="3" s="1"/>
  <c r="E4" i="4"/>
  <c r="E14" i="4" s="1"/>
  <c r="E24" i="2"/>
  <c r="D4" i="4"/>
  <c r="D14" i="4" s="1"/>
  <c r="D24" i="2"/>
  <c r="G21" i="2"/>
  <c r="C24" i="2"/>
  <c r="C4" i="4"/>
  <c r="C14" i="4" s="1"/>
  <c r="H15" i="2"/>
  <c r="H14" i="2"/>
  <c r="H22" i="4"/>
  <c r="H10" i="2"/>
  <c r="H11" i="2" s="1"/>
  <c r="H5" i="4"/>
  <c r="C19" i="5" s="1"/>
  <c r="C22" i="5" s="1"/>
  <c r="I15" i="2"/>
  <c r="I5" i="4"/>
  <c r="D19" i="5" s="1"/>
  <c r="D22" i="5" s="1"/>
  <c r="B26" i="5" s="1"/>
  <c r="B27" i="5" s="1"/>
  <c r="I22" i="4"/>
  <c r="I14" i="2"/>
  <c r="I10" i="2"/>
  <c r="I11" i="2" s="1"/>
  <c r="F4" i="4"/>
  <c r="F14" i="4" s="1"/>
  <c r="F24" i="2"/>
  <c r="F44" i="5" l="1"/>
  <c r="D43" i="5"/>
  <c r="E44" i="5"/>
  <c r="C44" i="5"/>
  <c r="E41" i="5"/>
  <c r="F45" i="5"/>
  <c r="D45" i="5"/>
  <c r="D44" i="5"/>
  <c r="B41" i="5"/>
  <c r="C42" i="5"/>
  <c r="C45" i="5"/>
  <c r="F43" i="5"/>
  <c r="D41" i="5"/>
  <c r="F42" i="5"/>
  <c r="E42" i="5"/>
  <c r="B45" i="5"/>
  <c r="B44" i="5"/>
  <c r="D42" i="5"/>
  <c r="F41" i="5"/>
  <c r="C41" i="5"/>
  <c r="B28" i="5"/>
  <c r="B29" i="5" s="1"/>
  <c r="B32" i="5" s="1"/>
  <c r="B34" i="5" s="1"/>
  <c r="B36" i="5" s="1"/>
  <c r="E43" i="5"/>
  <c r="B43" i="5"/>
  <c r="E45" i="5"/>
  <c r="B42" i="5"/>
  <c r="C43" i="5"/>
  <c r="C35" i="4"/>
  <c r="C37" i="4" s="1"/>
  <c r="C11" i="6"/>
  <c r="H15" i="3"/>
  <c r="G17" i="3"/>
  <c r="D35" i="4"/>
  <c r="D37" i="4" s="1"/>
  <c r="D11" i="6"/>
  <c r="F35" i="4"/>
  <c r="F37" i="4" s="1"/>
  <c r="F11" i="6"/>
  <c r="E35" i="4"/>
  <c r="E37" i="4" s="1"/>
  <c r="E11" i="6"/>
  <c r="H16" i="2"/>
  <c r="H17" i="2" s="1"/>
  <c r="H12" i="2"/>
  <c r="I12" i="2"/>
  <c r="I16" i="2"/>
  <c r="I17" i="2" s="1"/>
  <c r="G22" i="2"/>
  <c r="G23" i="2" s="1"/>
  <c r="G36" i="4" l="1"/>
  <c r="I15" i="3"/>
  <c r="I17" i="3" s="1"/>
  <c r="H17" i="3"/>
  <c r="I18" i="2"/>
  <c r="I21" i="2"/>
  <c r="G4" i="4"/>
  <c r="G14" i="4" s="1"/>
  <c r="G26" i="2"/>
  <c r="G24" i="2"/>
  <c r="H18" i="2"/>
  <c r="H21" i="2"/>
  <c r="G35" i="4" l="1"/>
  <c r="G37" i="4" s="1"/>
  <c r="G11" i="6"/>
  <c r="H22" i="2"/>
  <c r="H23" i="2" s="1"/>
  <c r="I22" i="2"/>
  <c r="I23" i="2" s="1"/>
  <c r="H36" i="4" l="1"/>
  <c r="G5" i="3"/>
  <c r="G11" i="3" s="1"/>
  <c r="G18" i="3" s="1"/>
  <c r="I4" i="4"/>
  <c r="I14" i="4" s="1"/>
  <c r="I26" i="2"/>
  <c r="I24" i="2"/>
  <c r="H4" i="4"/>
  <c r="H14" i="4" s="1"/>
  <c r="H26" i="2"/>
  <c r="H24" i="2"/>
  <c r="H35" i="4" l="1"/>
  <c r="H37" i="4" s="1"/>
  <c r="H11" i="6"/>
  <c r="I35" i="4"/>
  <c r="I11" i="6"/>
  <c r="I36" i="4"/>
  <c r="I37" i="4" l="1"/>
  <c r="I5" i="3"/>
  <c r="I11" i="3" s="1"/>
  <c r="I18" i="3" s="1"/>
  <c r="H5" i="3"/>
  <c r="H11" i="3" s="1"/>
  <c r="H1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tc={464BD856-CE73-374D-9589-8E6FDBD8F4F1}</author>
  </authors>
  <commentList>
    <comment ref="G2" authorId="0" shapeId="0" xr:uid="{464BD856-CE73-374D-9589-8E6FDBD8F4F1}">
      <text>
        <t>[Threaded comment]
Your version of Excel allows you to read this threaded comment; however, any edits to it will get removed if the file is opened in a newer version of Excel. Learn more: https://go.microsoft.com/fwlink/?linkid=870924
Comment:
    Financing activities held flat at FY2025 actuals as a simplifying assumption. Debt repayments and issuances excluded from projections.</t>
      </text>
    </comment>
  </commentList>
</comments>
</file>

<file path=xl/sharedStrings.xml><?xml version="1.0" encoding="utf-8"?>
<sst xmlns="http://schemas.openxmlformats.org/spreadsheetml/2006/main" count="248" uniqueCount="208">
  <si>
    <t>APPLE INC. — MODEL ASSUMPTIONS</t>
  </si>
  <si>
    <t>Assumption</t>
  </si>
  <si>
    <t>FY2026E</t>
  </si>
  <si>
    <t>FY2027E</t>
  </si>
  <si>
    <t>REVENUE GROWTH</t>
  </si>
  <si>
    <t>Products Revenue Growth %</t>
  </si>
  <si>
    <t>Services Revenue Growth %</t>
  </si>
  <si>
    <t>MARGIN ASSUMPTIONS</t>
  </si>
  <si>
    <t>Gross Margin %</t>
  </si>
  <si>
    <t>R&amp;D as % of Revenue</t>
  </si>
  <si>
    <t>SG&amp;A as % of Revenue</t>
  </si>
  <si>
    <t>Effective Tax Rate %</t>
  </si>
  <si>
    <t>BALANCE SHEET DRIVERS</t>
  </si>
  <si>
    <t>Days Sales Outstanding (DSO)</t>
  </si>
  <si>
    <t>Days Inventory Outstanding</t>
  </si>
  <si>
    <t>Days Payable Outstanding</t>
  </si>
  <si>
    <t>CapEx as % of Revenue</t>
  </si>
  <si>
    <t>D&amp;A as % of Revenue</t>
  </si>
  <si>
    <t>OTHER</t>
  </si>
  <si>
    <t>Shares Outstanding (mm)</t>
  </si>
  <si>
    <t>Annual Dividend per Share ($)</t>
  </si>
  <si>
    <t>APPLE INC. — INCOME STATEMENT  ($mm)</t>
  </si>
  <si>
    <t>Line Item</t>
  </si>
  <si>
    <t>FY2021</t>
  </si>
  <si>
    <t>FY2022</t>
  </si>
  <si>
    <t>FY2023</t>
  </si>
  <si>
    <t>FY2024</t>
  </si>
  <si>
    <t>REVENUE</t>
  </si>
  <si>
    <t xml:space="preserve">  Products Revenue</t>
  </si>
  <si>
    <t xml:space="preserve">  Services Revenue</t>
  </si>
  <si>
    <t>Total Revenue</t>
  </si>
  <si>
    <t>COSTS &amp; EXPENSES</t>
  </si>
  <si>
    <t>Gross Profit</t>
  </si>
  <si>
    <t xml:space="preserve">  Gross Margin %</t>
  </si>
  <si>
    <t xml:space="preserve">  Research &amp; Development</t>
  </si>
  <si>
    <t xml:space="preserve">  Selling, General &amp; Admin</t>
  </si>
  <si>
    <t>Total Operating Expenses</t>
  </si>
  <si>
    <t>Operating Income (EBIT)</t>
  </si>
  <si>
    <t xml:space="preserve">  EBIT Margin %</t>
  </si>
  <si>
    <t xml:space="preserve">  Interest &amp; Other Income, net</t>
  </si>
  <si>
    <t>Pre-Tax Income</t>
  </si>
  <si>
    <t xml:space="preserve">  Income Tax Expense</t>
  </si>
  <si>
    <t>Net Income</t>
  </si>
  <si>
    <t xml:space="preserve">  Net Margin %</t>
  </si>
  <si>
    <t>EPS (Diluted, $)</t>
  </si>
  <si>
    <t>APPLE INC. — BALANCE SHEET  ($mm)</t>
  </si>
  <si>
    <t>ASSETS</t>
  </si>
  <si>
    <t>Current Assets</t>
  </si>
  <si>
    <t xml:space="preserve">  Cash &amp; Cash Equivalents</t>
  </si>
  <si>
    <t xml:space="preserve">  Accounts Receivable, net</t>
  </si>
  <si>
    <t xml:space="preserve">  Inventories</t>
  </si>
  <si>
    <t xml:space="preserve">  Other Current Assets</t>
  </si>
  <si>
    <t>Total Current Assets</t>
  </si>
  <si>
    <t>Non-Current Assets</t>
  </si>
  <si>
    <t xml:space="preserve">  Property, Plant &amp; Equipment, net</t>
  </si>
  <si>
    <t xml:space="preserve">  Other Non-Current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</si>
  <si>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</si>
  <si>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</si>
  <si>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</si>
  <si>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</si>
  <si>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</si>
  <si>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Deferred Revenue</t>
  </si>
  <si>
    <t xml:space="preserve">  Other Current Liabilities</t>
  </si>
  <si>
    <t>Total Current Liabilities</t>
  </si>
  <si>
    <t>Non-Current Liabilities</t>
  </si>
  <si>
    <t xml:space="preserve">  Long-term Debt</t>
  </si>
  <si>
    <t xml:space="preserve">  Other Non-Current Liabilities</t>
  </si>
  <si>
    <t>Total Non-Current Liabilities</t>
  </si>
  <si>
    <t>TOTAL LIABILITIES</t>
  </si>
  <si>
    <t>Shareholders' Equity</t>
  </si>
  <si>
    <t xml:space="preserve">  Common Stock &amp; APIC</t>
  </si>
  <si>
    <t xml:space="preserve">  Retained Earnings (Deficit)</t>
  </si>
  <si>
    <t xml:space="preserve">  Accumulated OCI</t>
  </si>
  <si>
    <t>Total Shareholders' Equity</t>
  </si>
  <si>
    <t>TOTAL LIABILITIES &amp; EQUITY</t>
  </si>
  <si>
    <t>APPLE INC. — CASH FLOW STATEMENT  ($mm)</t>
  </si>
  <si>
    <t>OPERATING ACTIVITIES</t>
  </si>
  <si>
    <t xml:space="preserve">  Net Income</t>
  </si>
  <si>
    <t xml:space="preserve">  Depreciation &amp; Amortization</t>
  </si>
  <si>
    <t xml:space="preserve">  Change in Accounts Receivable</t>
  </si>
  <si>
    <t xml:space="preserve">  Change in Inventories</t>
  </si>
  <si>
    <t xml:space="preserve">  Change in Accounts Payable</t>
  </si>
  <si>
    <t>Cash from Operations (CFO)</t>
  </si>
  <si>
    <t>INVESTING ACTIVITIES</t>
  </si>
  <si>
    <t xml:space="preserve">  Capital Expenditures (CapEx)</t>
  </si>
  <si>
    <t>Cash from Investing (CFI)</t>
  </si>
  <si>
    <t>FINANCING ACTIVITIES</t>
  </si>
  <si>
    <t xml:space="preserve">  Dividends Paid</t>
  </si>
  <si>
    <t xml:space="preserve">  Proceeds from Debt Issuance</t>
  </si>
  <si>
    <t xml:space="preserve">  Debt Repayments</t>
  </si>
  <si>
    <t xml:space="preserve">  Other Financing Activities</t>
  </si>
  <si>
    <t>Cash from Financing (CFF)</t>
  </si>
  <si>
    <t>CASH RECONCILIATION</t>
  </si>
  <si>
    <t>Net Change in Cash</t>
  </si>
  <si>
    <t>Beginning Cash</t>
  </si>
  <si>
    <t>Ending Cash</t>
  </si>
  <si>
    <t>APPLE INC. — DCF VALUATION  ($mm)</t>
  </si>
  <si>
    <t>WACC INPUTS</t>
  </si>
  <si>
    <t>Risk-Free Rate (10-yr Treasury)</t>
  </si>
  <si>
    <t>~4.5% as of 2024</t>
  </si>
  <si>
    <t>Equity Risk Premium</t>
  </si>
  <si>
    <t>~5.5% (Damodaran)</t>
  </si>
  <si>
    <t>Beta (AAPL)</t>
  </si>
  <si>
    <t>~1.25 (Yahoo Finance)</t>
  </si>
  <si>
    <t>Cost of Equity  [=Rf + β × ERP]</t>
  </si>
  <si>
    <t>Formula</t>
  </si>
  <si>
    <t>Pre-tax Cost of Debt</t>
  </si>
  <si>
    <t>From 10-K Notes</t>
  </si>
  <si>
    <t>Tax Rate</t>
  </si>
  <si>
    <t>Link to Assumptions sheet</t>
  </si>
  <si>
    <t>After-tax Cost of Debt</t>
  </si>
  <si>
    <t>Weight of Equity (E/V)</t>
  </si>
  <si>
    <t>Market cap / (Market cap + Debt)</t>
  </si>
  <si>
    <t>Weight of Debt (D/V)</t>
  </si>
  <si>
    <t>1 - Weight of Equity</t>
  </si>
  <si>
    <t>WACC</t>
  </si>
  <si>
    <t>WACC formula: Ke x We + Kd x Wd</t>
  </si>
  <si>
    <t>FREE CASH FLOW TO FIRM (FCFF)</t>
  </si>
  <si>
    <t>EBIT</t>
  </si>
  <si>
    <t xml:space="preserve">  Tax on EBIT  [= EBIT × Tax Rate]</t>
  </si>
  <si>
    <t>NOPAT  [= EBIT × (1 - Tax Rate)]</t>
  </si>
  <si>
    <t xml:space="preserve">  + D&amp;A</t>
  </si>
  <si>
    <t xml:space="preserve">  - CapEx</t>
  </si>
  <si>
    <t xml:space="preserve">  ± Changes in Working Capital</t>
  </si>
  <si>
    <t>Free Cash Flow to Firm (FCFF)</t>
  </si>
  <si>
    <t>TERMINAL VALUE &amp; VALUATION</t>
  </si>
  <si>
    <t>Terminal Growth Rate (g)</t>
  </si>
  <si>
    <t>~2.5–3.0% (nominal GDP)</t>
  </si>
  <si>
    <t>Terminal Value  [= FCFFn × (1+g) / (WACC-g)]</t>
  </si>
  <si>
    <t>Gordon Growth Model</t>
  </si>
  <si>
    <t>PV of Terminal Value</t>
  </si>
  <si>
    <t>Discount back at WACC</t>
  </si>
  <si>
    <t>PV of Projected FCFFs</t>
  </si>
  <si>
    <t>Sum of discounted FCFFs</t>
  </si>
  <si>
    <t>Enterprise Value (EV)</t>
  </si>
  <si>
    <t>PV of FCFFs + PV of Terminal Value</t>
  </si>
  <si>
    <t>From Balance Sheet</t>
  </si>
  <si>
    <t xml:space="preserve">  - Total Debt</t>
  </si>
  <si>
    <t>Equity Value</t>
  </si>
  <si>
    <t>EV + Cash - Debt</t>
  </si>
  <si>
    <t>From Assumptions sheet</t>
  </si>
  <si>
    <t>Implied Share Price ($)</t>
  </si>
  <si>
    <t>Equity Value divided by Shares</t>
  </si>
  <si>
    <t>Current Market Price ($)</t>
  </si>
  <si>
    <t>Yahoo Finance</t>
  </si>
  <si>
    <t>Upside / Downside (%)</t>
  </si>
  <si>
    <t>(Implied Price - Market Price) / Market Price</t>
  </si>
  <si>
    <t>SENSITIVITY TABLE — Implied Share Price ($)</t>
  </si>
  <si>
    <t xml:space="preserve">  Rows = Terminal Growth Rate   |   Columns = WACC</t>
  </si>
  <si>
    <t>g \ WACC</t>
  </si>
  <si>
    <t>8.0%</t>
  </si>
  <si>
    <t>9.0%</t>
  </si>
  <si>
    <t>10.0%</t>
  </si>
  <si>
    <t>11.0%</t>
  </si>
  <si>
    <t>12.0%</t>
  </si>
  <si>
    <t>2.0%</t>
  </si>
  <si>
    <t>2.5%</t>
  </si>
  <si>
    <t>3.0%</t>
  </si>
  <si>
    <t>3.5%</t>
  </si>
  <si>
    <t>4.0%</t>
  </si>
  <si>
    <t>APPLE INC. — EXECUTIVE DASHBOARD</t>
  </si>
  <si>
    <t>KEY METRICS SUMMARY</t>
  </si>
  <si>
    <t>Metric</t>
  </si>
  <si>
    <t>Revenue ($mm)</t>
  </si>
  <si>
    <t>Net Income ($mm)</t>
  </si>
  <si>
    <t>EBIT Margin %</t>
  </si>
  <si>
    <t>Net Margin %</t>
  </si>
  <si>
    <t>EPS (Diluted)</t>
  </si>
  <si>
    <t>FCF ($mm)</t>
  </si>
  <si>
    <t>Shares Out. (mm)</t>
  </si>
  <si>
    <t>Historical</t>
  </si>
  <si>
    <t>Projected</t>
  </si>
  <si>
    <t xml:space="preserve">  Cost of Sales</t>
  </si>
  <si>
    <t>FY2025</t>
  </si>
  <si>
    <t>FY2028E</t>
  </si>
  <si>
    <t xml:space="preserve">  Marketable Securities</t>
  </si>
  <si>
    <t xml:space="preserve">  Vendor Non-Trade Receivables</t>
  </si>
  <si>
    <t xml:space="preserve">  Commercial Paper</t>
  </si>
  <si>
    <t>Term Debt</t>
  </si>
  <si>
    <t xml:space="preserve">  Share-Based Compensation</t>
  </si>
  <si>
    <t xml:space="preserve">  Other</t>
  </si>
  <si>
    <t xml:space="preserve">  Purchases of Marketable Securities</t>
  </si>
  <si>
    <t xml:space="preserve">  Proceeds from Maturities</t>
  </si>
  <si>
    <t xml:space="preserve">  Proceeds from Sales</t>
  </si>
  <si>
    <t xml:space="preserve">  Payment for Taxes - Net Share Equity</t>
  </si>
  <si>
    <t xml:space="preserve">  Repurchases of Common Stock</t>
  </si>
  <si>
    <t>-</t>
  </si>
  <si>
    <t xml:space="preserve">  Change in Vendor Recievable</t>
  </si>
  <si>
    <t xml:space="preserve">  Other Current &amp; Non-Current Assets</t>
  </si>
  <si>
    <t xml:space="preserve">  Other Current &amp; Non-Current Liabilities</t>
  </si>
  <si>
    <t xml:space="preserve">  Proceeds from/(Repayments of) Commercial Paper, net</t>
  </si>
  <si>
    <t>Less: Restricted Cash</t>
  </si>
  <si>
    <t>FY2025 returned to growth. Assume stable growth.</t>
  </si>
  <si>
    <t>Growth slows as business becomes larger</t>
  </si>
  <si>
    <t>Notes</t>
  </si>
  <si>
    <t>Rising margins - services represent more of TR</t>
  </si>
  <si>
    <t>R&amp;D spending steadily increased</t>
  </si>
  <si>
    <t>SG&amp;A has been stable</t>
  </si>
  <si>
    <t>Normalized rate (FY2024 high due to tax charge)</t>
  </si>
  <si>
    <t>Accounts Receivable / Revenue × 365</t>
  </si>
  <si>
    <t>Inventory / Cost of Sales × 365</t>
  </si>
  <si>
    <t>Accounts Payable / Cost of Sales × 365</t>
  </si>
  <si>
    <t>ABS(CapEx) / Revenue</t>
  </si>
  <si>
    <t>D&amp;A / Revenue</t>
  </si>
  <si>
    <t>Diluted Weighted-Average Shares (mm)</t>
  </si>
  <si>
    <t>Assuming a rounded 2.5% decline</t>
  </si>
  <si>
    <t>Increase $0.04 every year</t>
  </si>
  <si>
    <t xml:space="preserve">  + Cash &amp; Marketable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</si>
</sst>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\(0.0%\);\-"/>
    <numFmt numFmtId="165" formatCode="#,##0;\(#,##0\);\-"/>
    <numFmt numFmtId="166" formatCode="#,##0.00;\(#,##0.00\);\-"/>
    <numFmt numFmtId="167" formatCode="0.0"/>
    <numFmt numFmtId="168" formatCode="0.0%"/>
    <numFmt numFmtId="169" formatCode="&quot;$&quot;#,##0.00"/>
  </numFmts>
  <fonts count="20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sz val="11"/>
      <color theme="1"/>
      <name val="Calibri"/>
      <family val="2"/>
      <charset val="1"/>
    </font>
    <font>
      <b/>
      <sz val="14"/>
      <color theme="1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3"/>
      <color theme="1"/>
      <name val="Calibri"/>
      <family val="2"/>
    </font>
    <font>
      <b/>
      <sz val="9"/>
      <color theme="1"/>
      <name val="Calibri"/>
      <family val="2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rgb="FF333333"/>
      </patternFill>
    </fill>
    <fill>
      <patternFill patternType="solid">
        <fgColor theme="0" tint="-0.499984740745262"/>
        <bgColor rgb="FF1F3864"/>
      </patternFill>
    </fill>
    <fill>
      <patternFill patternType="solid">
        <fgColor theme="0" tint="-0.34998626667073579"/>
        <bgColor rgb="FFDEEAF1"/>
      </patternFill>
    </fill>
    <fill>
      <patternFill patternType="solid">
        <fgColor theme="0" tint="-0.249977111117893"/>
        <bgColor rgb="FFDEEAF1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0.249977111117893"/>
        <bgColor rgb="FFD6E4F7"/>
      </patternFill>
    </fill>
    <fill>
      <patternFill patternType="solid">
        <fgColor theme="0" tint="-4.9989318521683403E-2"/>
        <bgColor rgb="FFF5F9FF"/>
      </patternFill>
    </fill>
    <fill>
      <patternFill patternType="solid">
        <fgColor theme="0" tint="-0.34998626667073579"/>
        <bgColor rgb="FF1F3864"/>
      </patternFill>
    </fill>
  </fills>
  <borders count="3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34998626667073579"/>
      </right>
      <top/>
      <bottom style="thin">
        <color theme="1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1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1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1"/>
      </right>
      <top/>
      <bottom style="thin">
        <color theme="0" tint="-0.34998626667073579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2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 vertical="center" indent="1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1" xfId="0" applyBorder="1"/>
    <xf numFmtId="0" fontId="8" fillId="0" borderId="0" xfId="0" applyFont="1"/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166" fontId="11" fillId="0" borderId="4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0" borderId="0" xfId="0" applyBorder="1"/>
    <xf numFmtId="0" fontId="10" fillId="2" borderId="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left" vertical="center" indent="1"/>
    </xf>
    <xf numFmtId="0" fontId="12" fillId="0" borderId="2" xfId="0" applyFont="1" applyBorder="1"/>
    <xf numFmtId="0" fontId="10" fillId="5" borderId="0" xfId="0" applyFont="1" applyFill="1" applyBorder="1" applyAlignment="1">
      <alignment horizontal="left" vertical="center" indent="1"/>
    </xf>
    <xf numFmtId="0" fontId="10" fillId="5" borderId="2" xfId="0" applyFont="1" applyFill="1" applyBorder="1" applyAlignment="1">
      <alignment horizontal="left" vertical="center" indent="1"/>
    </xf>
    <xf numFmtId="167" fontId="11" fillId="0" borderId="0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indent="1"/>
    </xf>
    <xf numFmtId="166" fontId="11" fillId="0" borderId="5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 indent="1"/>
    </xf>
    <xf numFmtId="0" fontId="12" fillId="6" borderId="2" xfId="0" applyFont="1" applyFill="1" applyBorder="1"/>
    <xf numFmtId="167" fontId="11" fillId="6" borderId="2" xfId="0" applyNumberFormat="1" applyFont="1" applyFill="1" applyBorder="1" applyAlignment="1">
      <alignment horizontal="center" vertical="center"/>
    </xf>
    <xf numFmtId="167" fontId="11" fillId="6" borderId="0" xfId="0" applyNumberFormat="1" applyFont="1" applyFill="1" applyBorder="1" applyAlignment="1">
      <alignment horizontal="center" vertical="center"/>
    </xf>
    <xf numFmtId="1" fontId="11" fillId="6" borderId="2" xfId="0" applyNumberFormat="1" applyFont="1" applyFill="1" applyBorder="1" applyAlignment="1">
      <alignment horizontal="center" vertical="center"/>
    </xf>
    <xf numFmtId="1" fontId="11" fillId="6" borderId="0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165" fontId="11" fillId="6" borderId="3" xfId="0" applyNumberFormat="1" applyFont="1" applyFill="1" applyBorder="1" applyAlignment="1">
      <alignment horizontal="center" vertical="center"/>
    </xf>
    <xf numFmtId="165" fontId="11" fillId="6" borderId="0" xfId="0" applyNumberFormat="1" applyFont="1" applyFill="1" applyBorder="1" applyAlignment="1">
      <alignment horizontal="center" vertical="center"/>
    </xf>
    <xf numFmtId="0" fontId="12" fillId="6" borderId="4" xfId="0" applyFont="1" applyFill="1" applyBorder="1"/>
    <xf numFmtId="0" fontId="12" fillId="6" borderId="7" xfId="0" applyFont="1" applyFill="1" applyBorder="1"/>
    <xf numFmtId="0" fontId="13" fillId="2" borderId="13" xfId="0" applyFont="1" applyFill="1" applyBorder="1" applyAlignment="1">
      <alignment horizontal="center" vertical="center"/>
    </xf>
    <xf numFmtId="0" fontId="8" fillId="0" borderId="12" xfId="0" applyFont="1" applyBorder="1"/>
    <xf numFmtId="0" fontId="14" fillId="0" borderId="14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 applyBorder="1"/>
    <xf numFmtId="0" fontId="8" fillId="6" borderId="0" xfId="0" applyFont="1" applyFill="1" applyBorder="1"/>
    <xf numFmtId="0" fontId="8" fillId="6" borderId="22" xfId="0" applyFont="1" applyFill="1" applyBorder="1"/>
    <xf numFmtId="0" fontId="8" fillId="6" borderId="2" xfId="0" applyFont="1" applyFill="1" applyBorder="1"/>
    <xf numFmtId="0" fontId="8" fillId="6" borderId="21" xfId="0" applyFont="1" applyFill="1" applyBorder="1"/>
    <xf numFmtId="0" fontId="8" fillId="6" borderId="19" xfId="0" applyFont="1" applyFill="1" applyBorder="1"/>
    <xf numFmtId="0" fontId="8" fillId="6" borderId="18" xfId="0" applyFont="1" applyFill="1" applyBorder="1"/>
    <xf numFmtId="0" fontId="8" fillId="6" borderId="17" xfId="0" applyFont="1" applyFill="1" applyBorder="1"/>
    <xf numFmtId="0" fontId="14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indent="3"/>
    </xf>
    <xf numFmtId="165" fontId="11" fillId="0" borderId="0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11" fillId="6" borderId="27" xfId="0" applyNumberFormat="1" applyFont="1" applyFill="1" applyBorder="1" applyAlignment="1">
      <alignment horizontal="center" vertical="center"/>
    </xf>
    <xf numFmtId="165" fontId="11" fillId="6" borderId="23" xfId="0" applyNumberFormat="1" applyFont="1" applyFill="1" applyBorder="1" applyAlignment="1">
      <alignment horizontal="center" vertical="center"/>
    </xf>
    <xf numFmtId="165" fontId="11" fillId="6" borderId="24" xfId="0" applyNumberFormat="1" applyFont="1" applyFill="1" applyBorder="1" applyAlignment="1">
      <alignment horizontal="center" vertical="center"/>
    </xf>
    <xf numFmtId="165" fontId="11" fillId="6" borderId="28" xfId="0" applyNumberFormat="1" applyFont="1" applyFill="1" applyBorder="1" applyAlignment="1">
      <alignment horizontal="center" vertical="center"/>
    </xf>
    <xf numFmtId="165" fontId="11" fillId="6" borderId="22" xfId="0" applyNumberFormat="1" applyFont="1" applyFill="1" applyBorder="1" applyAlignment="1">
      <alignment horizontal="center" vertical="center"/>
    </xf>
    <xf numFmtId="165" fontId="11" fillId="6" borderId="2" xfId="0" applyNumberFormat="1" applyFont="1" applyFill="1" applyBorder="1" applyAlignment="1">
      <alignment horizontal="center" vertical="center"/>
    </xf>
    <xf numFmtId="165" fontId="10" fillId="7" borderId="0" xfId="0" applyNumberFormat="1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left" vertical="center" indent="1"/>
    </xf>
    <xf numFmtId="165" fontId="11" fillId="6" borderId="26" xfId="0" applyNumberFormat="1" applyFont="1" applyFill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164" fontId="11" fillId="6" borderId="27" xfId="0" applyNumberFormat="1" applyFont="1" applyFill="1" applyBorder="1" applyAlignment="1">
      <alignment horizontal="center" vertical="center"/>
    </xf>
    <xf numFmtId="164" fontId="11" fillId="6" borderId="23" xfId="0" applyNumberFormat="1" applyFont="1" applyFill="1" applyBorder="1" applyAlignment="1">
      <alignment horizontal="center" vertical="center"/>
    </xf>
    <xf numFmtId="164" fontId="11" fillId="6" borderId="24" xfId="0" applyNumberFormat="1" applyFont="1" applyFill="1" applyBorder="1" applyAlignment="1">
      <alignment horizontal="center" vertical="center"/>
    </xf>
    <xf numFmtId="165" fontId="11" fillId="6" borderId="21" xfId="0" applyNumberFormat="1" applyFont="1" applyFill="1" applyBorder="1" applyAlignment="1">
      <alignment horizontal="center" vertical="center"/>
    </xf>
    <xf numFmtId="165" fontId="11" fillId="6" borderId="19" xfId="0" applyNumberFormat="1" applyFont="1" applyFill="1" applyBorder="1" applyAlignment="1">
      <alignment horizontal="center" vertical="center"/>
    </xf>
    <xf numFmtId="165" fontId="11" fillId="6" borderId="18" xfId="0" applyNumberFormat="1" applyFont="1" applyFill="1" applyBorder="1" applyAlignment="1">
      <alignment horizontal="center" vertical="center"/>
    </xf>
    <xf numFmtId="165" fontId="11" fillId="6" borderId="25" xfId="0" applyNumberFormat="1" applyFont="1" applyFill="1" applyBorder="1" applyAlignment="1">
      <alignment horizontal="center" vertical="center"/>
    </xf>
    <xf numFmtId="164" fontId="11" fillId="6" borderId="29" xfId="0" applyNumberFormat="1" applyFont="1" applyFill="1" applyBorder="1" applyAlignment="1">
      <alignment horizontal="center" vertical="center"/>
    </xf>
    <xf numFmtId="166" fontId="11" fillId="6" borderId="16" xfId="0" applyNumberFormat="1" applyFont="1" applyFill="1" applyBorder="1" applyAlignment="1">
      <alignment horizontal="center" vertical="center"/>
    </xf>
    <xf numFmtId="166" fontId="11" fillId="6" borderId="20" xfId="0" applyNumberFormat="1" applyFont="1" applyFill="1" applyBorder="1" applyAlignment="1">
      <alignment horizontal="center" vertical="center"/>
    </xf>
    <xf numFmtId="166" fontId="11" fillId="6" borderId="6" xfId="0" applyNumberFormat="1" applyFont="1" applyFill="1" applyBorder="1" applyAlignment="1">
      <alignment horizontal="center" vertical="center"/>
    </xf>
    <xf numFmtId="164" fontId="11" fillId="6" borderId="0" xfId="0" applyNumberFormat="1" applyFont="1" applyFill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4" fontId="11" fillId="6" borderId="3" xfId="0" applyNumberFormat="1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7" fillId="0" borderId="4" xfId="0" applyFont="1" applyBorder="1"/>
    <xf numFmtId="0" fontId="17" fillId="0" borderId="0" xfId="0" applyFont="1" applyBorder="1"/>
    <xf numFmtId="0" fontId="17" fillId="0" borderId="2" xfId="0" applyFont="1" applyBorder="1"/>
    <xf numFmtId="0" fontId="16" fillId="5" borderId="3" xfId="0" applyFont="1" applyFill="1" applyBorder="1" applyAlignment="1">
      <alignment horizontal="left" vertical="center" indent="1"/>
    </xf>
    <xf numFmtId="0" fontId="16" fillId="5" borderId="0" xfId="0" applyFont="1" applyFill="1" applyBorder="1" applyAlignment="1">
      <alignment horizontal="left" vertical="center" indent="1"/>
    </xf>
    <xf numFmtId="0" fontId="16" fillId="5" borderId="2" xfId="0" applyFont="1" applyFill="1" applyBorder="1" applyAlignment="1">
      <alignment horizontal="left" vertical="center" indent="1"/>
    </xf>
    <xf numFmtId="0" fontId="16" fillId="8" borderId="3" xfId="0" applyFont="1" applyFill="1" applyBorder="1" applyAlignment="1">
      <alignment horizontal="left" vertical="center" indent="1"/>
    </xf>
    <xf numFmtId="0" fontId="16" fillId="8" borderId="0" xfId="0" applyFont="1" applyFill="1" applyBorder="1" applyAlignment="1">
      <alignment horizontal="left" vertical="center" indent="1"/>
    </xf>
    <xf numFmtId="0" fontId="16" fillId="8" borderId="2" xfId="0" applyFont="1" applyFill="1" applyBorder="1" applyAlignment="1">
      <alignment horizontal="left" vertical="center" indent="1"/>
    </xf>
    <xf numFmtId="0" fontId="18" fillId="0" borderId="4" xfId="0" applyFont="1" applyBorder="1" applyAlignment="1">
      <alignment horizontal="left" vertical="center" indent="3"/>
    </xf>
    <xf numFmtId="165" fontId="18" fillId="0" borderId="0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 indent="1"/>
    </xf>
    <xf numFmtId="165" fontId="16" fillId="7" borderId="0" xfId="0" applyNumberFormat="1" applyFont="1" applyFill="1" applyBorder="1" applyAlignment="1">
      <alignment horizontal="center" vertical="center"/>
    </xf>
    <xf numFmtId="165" fontId="16" fillId="7" borderId="2" xfId="0" applyNumberFormat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left" vertical="center" indent="1"/>
    </xf>
    <xf numFmtId="165" fontId="16" fillId="7" borderId="5" xfId="0" applyNumberFormat="1" applyFont="1" applyFill="1" applyBorder="1" applyAlignment="1">
      <alignment horizontal="center" vertical="center"/>
    </xf>
    <xf numFmtId="165" fontId="16" fillId="7" borderId="6" xfId="0" applyNumberFormat="1" applyFont="1" applyFill="1" applyBorder="1" applyAlignment="1">
      <alignment horizontal="center" vertical="center"/>
    </xf>
    <xf numFmtId="0" fontId="0" fillId="0" borderId="0" xfId="0" applyFont="1"/>
    <xf numFmtId="0" fontId="13" fillId="2" borderId="15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0" fillId="7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 indent="1"/>
    </xf>
    <xf numFmtId="165" fontId="10" fillId="7" borderId="5" xfId="0" applyNumberFormat="1" applyFont="1" applyFill="1" applyBorder="1" applyAlignment="1">
      <alignment horizontal="center" vertical="center"/>
    </xf>
    <xf numFmtId="165" fontId="10" fillId="7" borderId="6" xfId="0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169" fontId="19" fillId="6" borderId="0" xfId="0" applyNumberFormat="1" applyFont="1" applyFill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10" fontId="11" fillId="0" borderId="4" xfId="1" applyNumberFormat="1" applyFont="1" applyBorder="1" applyAlignment="1">
      <alignment horizontal="center" vertical="center"/>
    </xf>
    <xf numFmtId="0" fontId="8" fillId="0" borderId="4" xfId="0" applyFont="1" applyBorder="1"/>
    <xf numFmtId="168" fontId="11" fillId="0" borderId="4" xfId="1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9" fontId="11" fillId="0" borderId="4" xfId="1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69" fontId="19" fillId="6" borderId="5" xfId="0" applyNumberFormat="1" applyFont="1" applyFill="1" applyBorder="1" applyAlignment="1">
      <alignment horizontal="center" vertical="center"/>
    </xf>
    <xf numFmtId="169" fontId="19" fillId="6" borderId="2" xfId="0" applyNumberFormat="1" applyFont="1" applyFill="1" applyBorder="1" applyAlignment="1">
      <alignment horizontal="center" vertical="center"/>
    </xf>
    <xf numFmtId="169" fontId="19" fillId="6" borderId="6" xfId="0" applyNumberFormat="1" applyFont="1" applyFill="1" applyBorder="1" applyAlignment="1">
      <alignment horizontal="center" vertical="center"/>
    </xf>
    <xf numFmtId="0" fontId="12" fillId="0" borderId="5" xfId="0" applyFont="1" applyBorder="1"/>
    <xf numFmtId="0" fontId="12" fillId="0" borderId="6" xfId="0" applyFont="1" applyBorder="1"/>
    <xf numFmtId="3" fontId="12" fillId="0" borderId="0" xfId="0" applyNumberFormat="1" applyFont="1" applyAlignment="1">
      <alignment horizontal="center" vertical="center"/>
    </xf>
    <xf numFmtId="10" fontId="12" fillId="0" borderId="0" xfId="1" applyNumberFormat="1" applyFont="1" applyAlignment="1">
      <alignment horizontal="center" vertical="center"/>
    </xf>
    <xf numFmtId="169" fontId="12" fillId="0" borderId="0" xfId="0" applyNumberFormat="1" applyFont="1" applyAlignment="1">
      <alignment horizontal="center" vertical="center"/>
    </xf>
    <xf numFmtId="3" fontId="12" fillId="0" borderId="5" xfId="0" applyNumberFormat="1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10" fontId="12" fillId="0" borderId="2" xfId="1" applyNumberFormat="1" applyFont="1" applyBorder="1" applyAlignment="1">
      <alignment horizontal="center" vertical="center"/>
    </xf>
    <xf numFmtId="169" fontId="12" fillId="0" borderId="2" xfId="0" applyNumberFormat="1" applyFont="1" applyBorder="1" applyAlignment="1">
      <alignment horizontal="center" vertical="center"/>
    </xf>
    <xf numFmtId="3" fontId="12" fillId="0" borderId="6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7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7"/>
      <rgbColor rgb="FF7F7F7F"/>
      <rgbColor rgb="FF9999FF"/>
      <rgbColor rgb="FF993366"/>
      <rgbColor rgb="FFFFFAEF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5F9FF"/>
      <rgbColor rgb="FF99CCFF"/>
      <rgbColor rgb="FFFF99CC"/>
      <rgbColor rgb="FFCC99FF"/>
      <rgbColor rgb="FFFFCC99"/>
      <rgbColor rgb="FF4472C4"/>
      <rgbColor rgb="FF33CCCC"/>
      <rgbColor rgb="FF99CC00"/>
      <rgbColor rgb="FFFFD700"/>
      <rgbColor rgb="FFFF9900"/>
      <rgbColor rgb="FFED7D31"/>
      <rgbColor rgb="FF595959"/>
      <rgbColor rgb="FFAAAAAA"/>
      <rgbColor rgb="FF1F3864"/>
      <rgbColor rgb="FF70AD47"/>
      <rgbColor rgb="FF003300"/>
      <rgbColor rgb="FF333300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and Net Income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Dashboard!$A$5</c:f>
              <c:strCache>
                <c:ptCount val="1"/>
                <c:pt idx="0">
                  <c:v>Revenue ($mm)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Dashboard!$B$4:$I$4</c:f>
              <c:strCache>
                <c:ptCount val="8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</c:strCache>
            </c:strRef>
          </c:cat>
          <c:val>
            <c:numRef>
              <c:f>Dashboard!$B$5:$I$5</c:f>
              <c:numCache>
                <c:formatCode>#,##0</c:formatCode>
                <c:ptCount val="8"/>
                <c:pt idx="0">
                  <c:v>365817</c:v>
                </c:pt>
                <c:pt idx="1">
                  <c:v>394328</c:v>
                </c:pt>
                <c:pt idx="2">
                  <c:v>383285</c:v>
                </c:pt>
                <c:pt idx="3">
                  <c:v>391035</c:v>
                </c:pt>
                <c:pt idx="4">
                  <c:v>416161</c:v>
                </c:pt>
                <c:pt idx="5">
                  <c:v>441540.08</c:v>
                </c:pt>
                <c:pt idx="6">
                  <c:v>467759.6704</c:v>
                </c:pt>
                <c:pt idx="7">
                  <c:v>494612.37075200002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2-4F4B-9804-EC779044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1710448"/>
        <c:axId val="1379814255"/>
      </c:barChart>
      <c:lineChart>
        <c:grouping val="standard"/>
        <c:varyColors val="0"/>
        <c:ser>
          <c:idx val="1"/>
          <c:order val="1"/>
          <c:tx>
            <c:strRef>
              <c:f>Dashboard!$A$6</c:f>
              <c:strCache>
                <c:ptCount val="1"/>
                <c:pt idx="0">
                  <c:v>Net Income ($mm)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Dashboard!$B$4:$I$4</c:f>
              <c:strCache>
                <c:ptCount val="8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</c:strCache>
            </c:strRef>
          </c:cat>
          <c:val>
            <c:numRef>
              <c:f>Dashboard!$B$6:$I$6</c:f>
              <c:numCache>
                <c:formatCode>#,##0</c:formatCode>
                <c:ptCount val="8"/>
                <c:pt idx="0">
                  <c:v>94680</c:v>
                </c:pt>
                <c:pt idx="1">
                  <c:v>99803</c:v>
                </c:pt>
                <c:pt idx="2">
                  <c:v>96995</c:v>
                </c:pt>
                <c:pt idx="3">
                  <c:v>93736</c:v>
                </c:pt>
                <c:pt idx="4">
                  <c:v>112010</c:v>
                </c:pt>
                <c:pt idx="5">
                  <c:v>118787.22717119999</c:v>
                </c:pt>
                <c:pt idx="6">
                  <c:v>126249.99564979199</c:v>
                </c:pt>
                <c:pt idx="7">
                  <c:v>134344.06282386428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2-4F4B-9804-EC779044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710448"/>
        <c:axId val="1379814255"/>
      </c:lineChart>
      <c:catAx>
        <c:axId val="76171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14255"/>
        <c:crosses val="autoZero"/>
        <c:auto val="1"/>
        <c:lblAlgn val="ctr"/>
        <c:lblOffset val="100"/>
        <c:noMultiLvlLbl val="0"/>
      </c:catAx>
      <c:valAx>
        <c:axId val="137981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1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 %</c:v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Dashboard!$B$4:$I$4</c:f>
              <c:strCache>
                <c:ptCount val="8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</c:strCache>
            </c:strRef>
          </c:cat>
          <c:val>
            <c:numRef>
              <c:f>Dashboard!$B$7:$I$7</c:f>
              <c:numCache>
                <c:formatCode>0.00%</c:formatCode>
                <c:ptCount val="8"/>
                <c:pt idx="0">
                  <c:v>0.41779359625167778</c:v>
                </c:pt>
                <c:pt idx="1">
                  <c:v>0.43309630561360085</c:v>
                </c:pt>
                <c:pt idx="2">
                  <c:v>0.44131129577207562</c:v>
                </c:pt>
                <c:pt idx="3">
                  <c:v>0.46206349815233932</c:v>
                </c:pt>
                <c:pt idx="4">
                  <c:v>0.46905164107160452</c:v>
                </c:pt>
                <c:pt idx="5">
                  <c:v>0.47</c:v>
                </c:pt>
                <c:pt idx="6">
                  <c:v>0.47199999999999998</c:v>
                </c:pt>
                <c:pt idx="7">
                  <c:v>0.47499999999999998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8-FB4E-BCE7-9CC3E59CFBFB}"/>
            </c:ext>
          </c:extLst>
        </c:ser>
        <c:ser>
          <c:idx val="1"/>
          <c:order val="1"/>
          <c:tx>
            <c:v>EBIT Margin %</c:v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dk1">
                    <a:tint val="55000"/>
                  </a:schemeClr>
                </a:solidFill>
              </a:ln>
              <a:effectLst/>
            </c:spPr>
          </c:marker>
          <c:cat>
            <c:strRef>
              <c:f>Dashboard!$B$4:$I$4</c:f>
              <c:strCache>
                <c:ptCount val="8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</c:strCache>
            </c:strRef>
          </c:cat>
          <c:val>
            <c:numRef>
              <c:f>Dashboard!$B$8:$I$8</c:f>
              <c:numCache>
                <c:formatCode>0.00%</c:formatCode>
                <c:ptCount val="8"/>
                <c:pt idx="0">
                  <c:v>0.29782377527561593</c:v>
                </c:pt>
                <c:pt idx="1">
                  <c:v>0.30288744395528594</c:v>
                </c:pt>
                <c:pt idx="2">
                  <c:v>0.29821412265024722</c:v>
                </c:pt>
                <c:pt idx="3">
                  <c:v>0.31510222870075566</c:v>
                </c:pt>
                <c:pt idx="4">
                  <c:v>0.31970799762591884</c:v>
                </c:pt>
                <c:pt idx="5">
                  <c:v>0.32099999999999995</c:v>
                </c:pt>
                <c:pt idx="6">
                  <c:v>0.32200000000000001</c:v>
                </c:pt>
                <c:pt idx="7">
                  <c:v>0.3239999999999999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58-FB4E-BCE7-9CC3E59CFBFB}"/>
            </c:ext>
          </c:extLst>
        </c:ser>
        <c:ser>
          <c:idx val="2"/>
          <c:order val="2"/>
          <c:tx>
            <c:v>Net Margin %</c:v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75000"/>
                </a:schemeClr>
              </a:solidFill>
              <a:ln w="9525">
                <a:solidFill>
                  <a:schemeClr val="dk1">
                    <a:tint val="75000"/>
                  </a:schemeClr>
                </a:solidFill>
              </a:ln>
              <a:effectLst/>
            </c:spPr>
          </c:marker>
          <c:cat>
            <c:strRef>
              <c:f>Dashboard!$B$4:$I$4</c:f>
              <c:strCache>
                <c:ptCount val="8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</c:strCache>
            </c:strRef>
          </c:cat>
          <c:val>
            <c:numRef>
              <c:f>Dashboard!$B$9:$I$9</c:f>
              <c:numCache>
                <c:formatCode>0.00%</c:formatCode>
                <c:ptCount val="8"/>
                <c:pt idx="0">
                  <c:v>0.25881793355694238</c:v>
                </c:pt>
                <c:pt idx="1">
                  <c:v>0.25309640705199732</c:v>
                </c:pt>
                <c:pt idx="2">
                  <c:v>0.25306234264320282</c:v>
                </c:pt>
                <c:pt idx="3">
                  <c:v>0.23971255769943867</c:v>
                </c:pt>
                <c:pt idx="4">
                  <c:v>0.26915064121818238</c:v>
                </c:pt>
                <c:pt idx="5">
                  <c:v>0.26902931931162394</c:v>
                </c:pt>
                <c:pt idx="6">
                  <c:v>0.26990355013255113</c:v>
                </c:pt>
                <c:pt idx="7">
                  <c:v>0.27161484582282064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58-FB4E-BCE7-9CC3E59CF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021632"/>
        <c:axId val="1663702479"/>
      </c:lineChart>
      <c:catAx>
        <c:axId val="76202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02479"/>
        <c:crosses val="autoZero"/>
        <c:auto val="1"/>
        <c:lblAlgn val="ctr"/>
        <c:lblOffset val="100"/>
        <c:noMultiLvlLbl val="0"/>
      </c:catAx>
      <c:valAx>
        <c:axId val="1663702479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02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14</xdr:row>
      <xdr:rowOff>44450</xdr:rowOff>
    </xdr:from>
    <xdr:to>
      <xdr:col>4</xdr:col>
      <xdr:colOff>25400</xdr:colOff>
      <xdr:row>32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1CCFF-4E04-A4EE-E6A1-39E3C22E8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14</xdr:row>
      <xdr:rowOff>44450</xdr:rowOff>
    </xdr:from>
    <xdr:to>
      <xdr:col>6</xdr:col>
      <xdr:colOff>1714500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7C4FAB-EB64-CF01-CC16-2FE868B0B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alal Ahmed Butt" id="{17BC1FED-FB40-7C4A-85E6-B170E3E7FAF3}" userId="S::tbutt@umass.edu::730596f4-4fd9-4b93-99f8-3b4286069e7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7-14T19:21:01.20" personId="{17BC1FED-FB40-7C4A-85E6-B170E3E7FAF3}" id="{464BD856-CE73-374D-9589-8E6FDBD8F4F1}">
    <text>Financing activities held flat at FY2025 actuals as a simplifying assumption. Debt repayments and issuances excluded from projections.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zoomScale="88" zoomScaleNormal="100" workbookViewId="0">
      <selection activeCell="D21" sqref="D21"/>
    </sheetView>
  </sheetViews>
  <sheetFormatPr baseColWidth="10" defaultColWidth="8.6640625" defaultRowHeight="15" x14ac:dyDescent="0.2"/>
  <cols>
    <col min="1" max="1" width="33.1640625" bestFit="1" customWidth="1"/>
    <col min="2" max="4" width="18" customWidth="1"/>
    <col min="5" max="5" width="36.5" bestFit="1" customWidth="1"/>
  </cols>
  <sheetData>
    <row r="1" spans="1:7" ht="27.75" customHeight="1" x14ac:dyDescent="0.2">
      <c r="A1" s="30" t="s">
        <v>0</v>
      </c>
      <c r="B1" s="31"/>
      <c r="C1" s="31"/>
      <c r="D1" s="31"/>
      <c r="E1" s="31"/>
      <c r="F1" s="7"/>
      <c r="G1" s="7"/>
    </row>
    <row r="2" spans="1:7" x14ac:dyDescent="0.2">
      <c r="A2" s="7"/>
      <c r="B2" s="7"/>
      <c r="C2" s="7"/>
      <c r="D2" s="7"/>
      <c r="E2" s="7"/>
      <c r="F2" s="7"/>
      <c r="G2" s="7"/>
    </row>
    <row r="3" spans="1:7" ht="19.5" customHeight="1" x14ac:dyDescent="0.2">
      <c r="A3" s="27" t="s">
        <v>1</v>
      </c>
      <c r="B3" s="28" t="s">
        <v>2</v>
      </c>
      <c r="C3" s="28" t="s">
        <v>3</v>
      </c>
      <c r="D3" s="28" t="s">
        <v>174</v>
      </c>
      <c r="E3" s="29" t="s">
        <v>194</v>
      </c>
      <c r="F3" s="7"/>
      <c r="G3" s="7"/>
    </row>
    <row r="4" spans="1:7" ht="18" customHeight="1" x14ac:dyDescent="0.2">
      <c r="A4" s="18" t="s">
        <v>4</v>
      </c>
      <c r="B4" s="18"/>
      <c r="C4" s="18"/>
      <c r="D4" s="18"/>
      <c r="E4" s="19"/>
      <c r="F4" s="7"/>
      <c r="G4" s="7"/>
    </row>
    <row r="5" spans="1:7" ht="15" customHeight="1" x14ac:dyDescent="0.2">
      <c r="A5" s="32" t="s">
        <v>5</v>
      </c>
      <c r="B5" s="85">
        <v>0.04</v>
      </c>
      <c r="C5" s="83">
        <v>0.04</v>
      </c>
      <c r="D5" s="38">
        <v>0.04</v>
      </c>
      <c r="E5" s="33" t="s">
        <v>192</v>
      </c>
      <c r="F5" s="7"/>
      <c r="G5" s="7"/>
    </row>
    <row r="6" spans="1:7" ht="15" customHeight="1" x14ac:dyDescent="0.2">
      <c r="A6" s="11" t="s">
        <v>6</v>
      </c>
      <c r="B6" s="84">
        <v>0.12</v>
      </c>
      <c r="C6" s="71">
        <v>0.11</v>
      </c>
      <c r="D6" s="13">
        <v>0.1</v>
      </c>
      <c r="E6" s="20" t="s">
        <v>193</v>
      </c>
      <c r="F6" s="7"/>
      <c r="G6" s="7"/>
    </row>
    <row r="7" spans="1:7" ht="18" customHeight="1" x14ac:dyDescent="0.2">
      <c r="A7" s="21" t="s">
        <v>7</v>
      </c>
      <c r="B7" s="21"/>
      <c r="C7" s="21"/>
      <c r="D7" s="21"/>
      <c r="E7" s="22"/>
      <c r="F7" s="7"/>
      <c r="G7" s="7"/>
    </row>
    <row r="8" spans="1:7" ht="15" customHeight="1" x14ac:dyDescent="0.2">
      <c r="A8" s="11" t="s">
        <v>8</v>
      </c>
      <c r="B8" s="84">
        <v>0.47</v>
      </c>
      <c r="C8" s="71">
        <v>0.47199999999999998</v>
      </c>
      <c r="D8" s="13">
        <v>0.47499999999999998</v>
      </c>
      <c r="E8" s="20" t="s">
        <v>195</v>
      </c>
      <c r="F8" s="7"/>
      <c r="G8" s="7"/>
    </row>
    <row r="9" spans="1:7" ht="15" customHeight="1" x14ac:dyDescent="0.2">
      <c r="A9" s="32" t="s">
        <v>9</v>
      </c>
      <c r="B9" s="85">
        <v>8.3000000000000004E-2</v>
      </c>
      <c r="C9" s="83">
        <v>8.4000000000000005E-2</v>
      </c>
      <c r="D9" s="38">
        <v>8.5000000000000006E-2</v>
      </c>
      <c r="E9" s="33" t="s">
        <v>196</v>
      </c>
      <c r="F9" s="7"/>
      <c r="G9" s="7"/>
    </row>
    <row r="10" spans="1:7" ht="15" customHeight="1" x14ac:dyDescent="0.2">
      <c r="A10" s="11" t="s">
        <v>10</v>
      </c>
      <c r="B10" s="84">
        <v>6.6000000000000003E-2</v>
      </c>
      <c r="C10" s="71">
        <v>6.6000000000000003E-2</v>
      </c>
      <c r="D10" s="13">
        <v>6.6000000000000003E-2</v>
      </c>
      <c r="E10" s="20" t="s">
        <v>197</v>
      </c>
      <c r="F10" s="7"/>
      <c r="G10" s="7"/>
    </row>
    <row r="11" spans="1:7" ht="15" customHeight="1" x14ac:dyDescent="0.2">
      <c r="A11" s="32" t="s">
        <v>11</v>
      </c>
      <c r="B11" s="85">
        <v>0.16</v>
      </c>
      <c r="C11" s="83">
        <v>0.16</v>
      </c>
      <c r="D11" s="38">
        <v>0.16</v>
      </c>
      <c r="E11" s="33" t="s">
        <v>198</v>
      </c>
      <c r="F11" s="7"/>
      <c r="G11" s="7"/>
    </row>
    <row r="12" spans="1:7" ht="18" customHeight="1" x14ac:dyDescent="0.2">
      <c r="A12" s="21" t="s">
        <v>12</v>
      </c>
      <c r="B12" s="21"/>
      <c r="C12" s="21"/>
      <c r="D12" s="21"/>
      <c r="E12" s="22"/>
      <c r="F12" s="7"/>
      <c r="G12" s="7"/>
    </row>
    <row r="13" spans="1:7" ht="15" customHeight="1" x14ac:dyDescent="0.2">
      <c r="A13" s="32" t="s">
        <v>13</v>
      </c>
      <c r="B13" s="35">
        <v>35</v>
      </c>
      <c r="C13" s="35">
        <v>35</v>
      </c>
      <c r="D13" s="34">
        <v>35</v>
      </c>
      <c r="E13" s="33" t="s">
        <v>199</v>
      </c>
      <c r="F13" s="7"/>
      <c r="G13" s="7"/>
    </row>
    <row r="14" spans="1:7" ht="15" customHeight="1" x14ac:dyDescent="0.2">
      <c r="A14" s="11" t="s">
        <v>14</v>
      </c>
      <c r="B14" s="23">
        <v>10</v>
      </c>
      <c r="C14" s="23">
        <v>10</v>
      </c>
      <c r="D14" s="14">
        <v>10</v>
      </c>
      <c r="E14" s="20" t="s">
        <v>200</v>
      </c>
      <c r="F14" s="7"/>
      <c r="G14" s="7"/>
    </row>
    <row r="15" spans="1:7" ht="15" customHeight="1" x14ac:dyDescent="0.2">
      <c r="A15" s="32" t="s">
        <v>15</v>
      </c>
      <c r="B15" s="37">
        <v>115</v>
      </c>
      <c r="C15" s="37">
        <v>115</v>
      </c>
      <c r="D15" s="36">
        <v>115</v>
      </c>
      <c r="E15" s="33" t="s">
        <v>201</v>
      </c>
      <c r="F15" s="7"/>
      <c r="G15" s="7"/>
    </row>
    <row r="16" spans="1:7" ht="15" customHeight="1" x14ac:dyDescent="0.2">
      <c r="A16" s="11" t="s">
        <v>16</v>
      </c>
      <c r="B16" s="71">
        <v>3.1E-2</v>
      </c>
      <c r="C16" s="71">
        <v>3.1E-2</v>
      </c>
      <c r="D16" s="13">
        <v>3.1E-2</v>
      </c>
      <c r="E16" s="20" t="s">
        <v>202</v>
      </c>
      <c r="F16" s="7"/>
      <c r="G16" s="7"/>
    </row>
    <row r="17" spans="1:7" ht="15" customHeight="1" x14ac:dyDescent="0.2">
      <c r="A17" s="32" t="s">
        <v>17</v>
      </c>
      <c r="B17" s="83">
        <v>2.8000000000000001E-2</v>
      </c>
      <c r="C17" s="83">
        <v>2.8000000000000001E-2</v>
      </c>
      <c r="D17" s="38">
        <v>2.8000000000000001E-2</v>
      </c>
      <c r="E17" s="33" t="s">
        <v>203</v>
      </c>
      <c r="F17" s="7"/>
      <c r="G17" s="7"/>
    </row>
    <row r="18" spans="1:7" ht="18" customHeight="1" x14ac:dyDescent="0.2">
      <c r="A18" s="21" t="s">
        <v>18</v>
      </c>
      <c r="B18" s="21"/>
      <c r="C18" s="21"/>
      <c r="D18" s="21"/>
      <c r="E18" s="22"/>
      <c r="F18" s="7"/>
      <c r="G18" s="7"/>
    </row>
    <row r="19" spans="1:7" ht="15" customHeight="1" x14ac:dyDescent="0.2">
      <c r="A19" s="32" t="s">
        <v>204</v>
      </c>
      <c r="B19" s="39">
        <v>14630</v>
      </c>
      <c r="C19" s="40">
        <v>14264</v>
      </c>
      <c r="D19" s="40">
        <v>13907</v>
      </c>
      <c r="E19" s="41" t="s">
        <v>205</v>
      </c>
      <c r="F19" s="7"/>
      <c r="G19" s="7"/>
    </row>
    <row r="20" spans="1:7" ht="15" customHeight="1" x14ac:dyDescent="0.2">
      <c r="A20" s="24" t="s">
        <v>20</v>
      </c>
      <c r="B20" s="26">
        <v>1.06</v>
      </c>
      <c r="C20" s="25">
        <v>1.1000000000000001</v>
      </c>
      <c r="D20" s="25">
        <v>1.1399999999999999</v>
      </c>
      <c r="E20" s="42" t="s">
        <v>206</v>
      </c>
      <c r="F20" s="7"/>
      <c r="G20" s="7"/>
    </row>
    <row r="21" spans="1:7" x14ac:dyDescent="0.2">
      <c r="A21" s="7"/>
      <c r="B21" s="7"/>
      <c r="C21" s="7"/>
      <c r="D21" s="7"/>
      <c r="E21" s="7"/>
      <c r="F21" s="7"/>
      <c r="G21" s="7"/>
    </row>
    <row r="22" spans="1:7" x14ac:dyDescent="0.2">
      <c r="A22" s="7"/>
      <c r="B22" s="7"/>
      <c r="C22" s="7"/>
      <c r="D22" s="7"/>
      <c r="E22" s="7"/>
      <c r="F22" s="7"/>
      <c r="G22" s="7"/>
    </row>
    <row r="23" spans="1:7" x14ac:dyDescent="0.2">
      <c r="A23" s="7"/>
      <c r="B23" s="7"/>
      <c r="C23" s="7"/>
      <c r="D23" s="7"/>
      <c r="E23" s="7"/>
      <c r="F23" s="7"/>
      <c r="G23" s="7"/>
    </row>
    <row r="24" spans="1:7" x14ac:dyDescent="0.2">
      <c r="B24" s="16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5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5"/>
    </row>
  </sheetData>
  <mergeCells count="5">
    <mergeCell ref="A1:E1"/>
    <mergeCell ref="A4:E4"/>
    <mergeCell ref="A7:E7"/>
    <mergeCell ref="A12:E12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opLeftCell="B1" zoomScale="119" zoomScaleNormal="100" workbookViewId="0">
      <selection activeCell="M13" sqref="M13"/>
    </sheetView>
  </sheetViews>
  <sheetFormatPr baseColWidth="10" defaultColWidth="8.6640625" defaultRowHeight="15" x14ac:dyDescent="0.2"/>
  <cols>
    <col min="1" max="1" width="32" customWidth="1"/>
    <col min="2" max="9" width="13" customWidth="1"/>
  </cols>
  <sheetData>
    <row r="1" spans="1:11" ht="25.5" customHeight="1" x14ac:dyDescent="0.2">
      <c r="A1" s="43" t="s">
        <v>21</v>
      </c>
      <c r="B1" s="43"/>
      <c r="C1" s="43"/>
      <c r="D1" s="43"/>
      <c r="E1" s="43"/>
      <c r="F1" s="43"/>
      <c r="G1" s="43"/>
      <c r="H1" s="43"/>
      <c r="I1" s="43"/>
    </row>
    <row r="2" spans="1:11" ht="15" customHeight="1" x14ac:dyDescent="0.2">
      <c r="A2" s="44"/>
      <c r="B2" s="57" t="s">
        <v>170</v>
      </c>
      <c r="C2" s="57"/>
      <c r="D2" s="57"/>
      <c r="E2" s="57"/>
      <c r="F2" s="57"/>
      <c r="G2" s="45" t="s">
        <v>171</v>
      </c>
      <c r="H2" s="46"/>
      <c r="I2" s="47"/>
    </row>
    <row r="3" spans="1:11" ht="15" customHeight="1" x14ac:dyDescent="0.2">
      <c r="A3" s="8" t="s">
        <v>22</v>
      </c>
      <c r="B3" s="8" t="s">
        <v>23</v>
      </c>
      <c r="C3" s="8" t="s">
        <v>24</v>
      </c>
      <c r="D3" s="8" t="s">
        <v>25</v>
      </c>
      <c r="E3" s="8" t="s">
        <v>26</v>
      </c>
      <c r="F3" s="8" t="s">
        <v>173</v>
      </c>
      <c r="G3" s="9" t="s">
        <v>2</v>
      </c>
      <c r="H3" s="9" t="s">
        <v>3</v>
      </c>
      <c r="I3" s="15" t="s">
        <v>174</v>
      </c>
    </row>
    <row r="4" spans="1:11" ht="15" customHeight="1" x14ac:dyDescent="0.2">
      <c r="A4" s="21" t="s">
        <v>27</v>
      </c>
      <c r="B4" s="21"/>
      <c r="C4" s="21"/>
      <c r="D4" s="21"/>
      <c r="E4" s="21"/>
      <c r="F4" s="21"/>
      <c r="G4" s="21"/>
      <c r="H4" s="21"/>
      <c r="I4" s="22"/>
    </row>
    <row r="5" spans="1:11" ht="15" customHeight="1" x14ac:dyDescent="0.2">
      <c r="A5" s="58" t="s">
        <v>28</v>
      </c>
      <c r="B5" s="59">
        <v>297392</v>
      </c>
      <c r="C5" s="59">
        <v>316199</v>
      </c>
      <c r="D5" s="59">
        <v>298085</v>
      </c>
      <c r="E5" s="59">
        <v>294866</v>
      </c>
      <c r="F5" s="60">
        <v>307003</v>
      </c>
      <c r="G5" s="61">
        <f>F5*(1+Assumptions!B5)</f>
        <v>319283.12</v>
      </c>
      <c r="H5" s="62">
        <f>G5*(1+Assumptions!C5)</f>
        <v>332054.4448</v>
      </c>
      <c r="I5" s="63">
        <f>H5*(1+Assumptions!D5)</f>
        <v>345336.622592</v>
      </c>
    </row>
    <row r="6" spans="1:11" ht="15" customHeight="1" x14ac:dyDescent="0.2">
      <c r="A6" s="58" t="s">
        <v>29</v>
      </c>
      <c r="B6" s="59">
        <v>68425</v>
      </c>
      <c r="C6" s="59">
        <v>78129</v>
      </c>
      <c r="D6" s="59">
        <v>85200</v>
      </c>
      <c r="E6" s="59">
        <v>96169</v>
      </c>
      <c r="F6" s="60">
        <v>109158</v>
      </c>
      <c r="G6" s="64">
        <f>F6*(1+Assumptions!B6)</f>
        <v>122256.96000000001</v>
      </c>
      <c r="H6" s="65">
        <f>G6*(1+Assumptions!C6)</f>
        <v>135705.22560000001</v>
      </c>
      <c r="I6" s="66">
        <f>H6*(1+Assumptions!D6)</f>
        <v>149275.74816000002</v>
      </c>
    </row>
    <row r="7" spans="1:11" ht="15" customHeight="1" x14ac:dyDescent="0.2">
      <c r="A7" s="11" t="s">
        <v>30</v>
      </c>
      <c r="B7" s="67">
        <f t="shared" ref="B7:I7" si="0">B5+B6</f>
        <v>365817</v>
      </c>
      <c r="C7" s="67">
        <f t="shared" si="0"/>
        <v>394328</v>
      </c>
      <c r="D7" s="67">
        <f t="shared" si="0"/>
        <v>383285</v>
      </c>
      <c r="E7" s="67">
        <f t="shared" si="0"/>
        <v>391035</v>
      </c>
      <c r="F7" s="68">
        <f t="shared" si="0"/>
        <v>416161</v>
      </c>
      <c r="G7" s="67">
        <f t="shared" si="0"/>
        <v>441540.08</v>
      </c>
      <c r="H7" s="67">
        <f t="shared" si="0"/>
        <v>467759.6704</v>
      </c>
      <c r="I7" s="68">
        <f t="shared" si="0"/>
        <v>494612.37075200002</v>
      </c>
    </row>
    <row r="8" spans="1:11" ht="15" customHeight="1" x14ac:dyDescent="0.2">
      <c r="A8" s="48"/>
      <c r="B8" s="49"/>
      <c r="C8" s="49"/>
      <c r="D8" s="49"/>
      <c r="E8" s="49"/>
      <c r="F8" s="48"/>
      <c r="G8" s="50"/>
      <c r="H8" s="51"/>
      <c r="I8" s="52"/>
    </row>
    <row r="9" spans="1:11" ht="15" customHeight="1" x14ac:dyDescent="0.2">
      <c r="A9" s="21" t="s">
        <v>31</v>
      </c>
      <c r="B9" s="21"/>
      <c r="C9" s="21"/>
      <c r="D9" s="21"/>
      <c r="E9" s="21"/>
      <c r="F9" s="21"/>
      <c r="G9" s="21"/>
      <c r="H9" s="21"/>
      <c r="I9" s="69"/>
    </row>
    <row r="10" spans="1:11" ht="15" customHeight="1" x14ac:dyDescent="0.2">
      <c r="A10" s="11" t="s">
        <v>172</v>
      </c>
      <c r="B10" s="59">
        <v>212981</v>
      </c>
      <c r="C10" s="59">
        <v>223546</v>
      </c>
      <c r="D10" s="59">
        <v>214137</v>
      </c>
      <c r="E10" s="59">
        <v>210352</v>
      </c>
      <c r="F10" s="60">
        <v>220960</v>
      </c>
      <c r="G10" s="64">
        <f>G7*(1-Assumptions!B8)</f>
        <v>234016.24240000002</v>
      </c>
      <c r="H10" s="40">
        <f>H7*(1-Assumptions!C8)</f>
        <v>246977.10597120001</v>
      </c>
      <c r="I10" s="70">
        <f>I7*(1-Assumptions!D8)</f>
        <v>259671.49464480003</v>
      </c>
    </row>
    <row r="11" spans="1:11" ht="15" customHeight="1" x14ac:dyDescent="0.2">
      <c r="A11" s="11" t="s">
        <v>32</v>
      </c>
      <c r="B11" s="67">
        <f t="shared" ref="B11:I11" si="1">B7-B10</f>
        <v>152836</v>
      </c>
      <c r="C11" s="67">
        <f t="shared" si="1"/>
        <v>170782</v>
      </c>
      <c r="D11" s="67">
        <f t="shared" si="1"/>
        <v>169148</v>
      </c>
      <c r="E11" s="67">
        <f t="shared" si="1"/>
        <v>180683</v>
      </c>
      <c r="F11" s="68">
        <f t="shared" si="1"/>
        <v>195201</v>
      </c>
      <c r="G11" s="67">
        <f t="shared" si="1"/>
        <v>207523.8376</v>
      </c>
      <c r="H11" s="67">
        <f t="shared" si="1"/>
        <v>220782.56442879999</v>
      </c>
      <c r="I11" s="68">
        <f t="shared" si="1"/>
        <v>234940.87610719999</v>
      </c>
      <c r="K11" s="16"/>
    </row>
    <row r="12" spans="1:11" ht="15" customHeight="1" x14ac:dyDescent="0.2">
      <c r="A12" s="58" t="s">
        <v>33</v>
      </c>
      <c r="B12" s="71">
        <f t="shared" ref="B12:I12" si="2">IFERROR(B11/B7,"-")</f>
        <v>0.41779359625167778</v>
      </c>
      <c r="C12" s="71">
        <f t="shared" si="2"/>
        <v>0.43309630561360085</v>
      </c>
      <c r="D12" s="71">
        <f t="shared" si="2"/>
        <v>0.44131129577207562</v>
      </c>
      <c r="E12" s="71">
        <f t="shared" si="2"/>
        <v>0.46206349815233932</v>
      </c>
      <c r="F12" s="13">
        <f t="shared" si="2"/>
        <v>0.46905164107160452</v>
      </c>
      <c r="G12" s="72">
        <f t="shared" si="2"/>
        <v>0.47</v>
      </c>
      <c r="H12" s="73">
        <f t="shared" si="2"/>
        <v>0.47199999999999998</v>
      </c>
      <c r="I12" s="74">
        <f t="shared" si="2"/>
        <v>0.47499999999999998</v>
      </c>
      <c r="K12" s="16"/>
    </row>
    <row r="13" spans="1:11" ht="15" customHeight="1" x14ac:dyDescent="0.2">
      <c r="A13" s="48"/>
      <c r="B13" s="49"/>
      <c r="C13" s="49"/>
      <c r="D13" s="49"/>
      <c r="E13" s="49"/>
      <c r="F13" s="48"/>
      <c r="G13" s="53"/>
      <c r="H13" s="54"/>
      <c r="I13" s="55"/>
    </row>
    <row r="14" spans="1:11" ht="15" customHeight="1" x14ac:dyDescent="0.2">
      <c r="A14" s="58" t="s">
        <v>34</v>
      </c>
      <c r="B14" s="59">
        <v>21914</v>
      </c>
      <c r="C14" s="59">
        <v>26251</v>
      </c>
      <c r="D14" s="59">
        <v>29915</v>
      </c>
      <c r="E14" s="59">
        <v>31370</v>
      </c>
      <c r="F14" s="60">
        <v>34550</v>
      </c>
      <c r="G14" s="75">
        <f>G7*Assumptions!B9</f>
        <v>36647.826640000007</v>
      </c>
      <c r="H14" s="76">
        <f>H7*Assumptions!C9</f>
        <v>39291.812313599999</v>
      </c>
      <c r="I14" s="77">
        <f>I7*Assumptions!D9</f>
        <v>42042.051513920007</v>
      </c>
    </row>
    <row r="15" spans="1:11" ht="15" customHeight="1" x14ac:dyDescent="0.2">
      <c r="A15" s="58" t="s">
        <v>35</v>
      </c>
      <c r="B15" s="59">
        <v>21973</v>
      </c>
      <c r="C15" s="59">
        <v>25094</v>
      </c>
      <c r="D15" s="59">
        <v>24932</v>
      </c>
      <c r="E15" s="59">
        <v>26097</v>
      </c>
      <c r="F15" s="60">
        <v>27601</v>
      </c>
      <c r="G15" s="75">
        <f>G7*Assumptions!B10</f>
        <v>29141.645280000001</v>
      </c>
      <c r="H15" s="76">
        <f>H7*Assumptions!C10</f>
        <v>30872.138246400002</v>
      </c>
      <c r="I15" s="77">
        <f>I7*Assumptions!D10</f>
        <v>32644.416469632004</v>
      </c>
    </row>
    <row r="16" spans="1:11" ht="15" customHeight="1" x14ac:dyDescent="0.2">
      <c r="A16" s="11" t="s">
        <v>36</v>
      </c>
      <c r="B16" s="59">
        <f t="shared" ref="B16:I16" si="3">B14+B15</f>
        <v>43887</v>
      </c>
      <c r="C16" s="59">
        <f t="shared" si="3"/>
        <v>51345</v>
      </c>
      <c r="D16" s="59">
        <f t="shared" si="3"/>
        <v>54847</v>
      </c>
      <c r="E16" s="59">
        <f t="shared" si="3"/>
        <v>57467</v>
      </c>
      <c r="F16" s="60">
        <f t="shared" si="3"/>
        <v>62151</v>
      </c>
      <c r="G16" s="64">
        <f t="shared" si="3"/>
        <v>65789.471920000011</v>
      </c>
      <c r="H16" s="65">
        <f t="shared" si="3"/>
        <v>70163.950559999997</v>
      </c>
      <c r="I16" s="66">
        <f t="shared" si="3"/>
        <v>74686.467983552007</v>
      </c>
    </row>
    <row r="17" spans="1:9" ht="15" customHeight="1" x14ac:dyDescent="0.2">
      <c r="A17" s="11" t="s">
        <v>37</v>
      </c>
      <c r="B17" s="67">
        <f t="shared" ref="B17:I17" si="4">B11-B16</f>
        <v>108949</v>
      </c>
      <c r="C17" s="67">
        <f t="shared" si="4"/>
        <v>119437</v>
      </c>
      <c r="D17" s="67">
        <f t="shared" si="4"/>
        <v>114301</v>
      </c>
      <c r="E17" s="67">
        <f t="shared" si="4"/>
        <v>123216</v>
      </c>
      <c r="F17" s="68">
        <f t="shared" si="4"/>
        <v>133050</v>
      </c>
      <c r="G17" s="67">
        <f t="shared" si="4"/>
        <v>141734.36567999999</v>
      </c>
      <c r="H17" s="67">
        <f t="shared" si="4"/>
        <v>150618.61386879999</v>
      </c>
      <c r="I17" s="68">
        <f t="shared" si="4"/>
        <v>160254.40812364797</v>
      </c>
    </row>
    <row r="18" spans="1:9" ht="15" customHeight="1" x14ac:dyDescent="0.2">
      <c r="A18" s="58" t="s">
        <v>38</v>
      </c>
      <c r="B18" s="71">
        <f t="shared" ref="B18:I18" si="5">IFERROR(B17/B7,"-")</f>
        <v>0.29782377527561593</v>
      </c>
      <c r="C18" s="71">
        <f t="shared" si="5"/>
        <v>0.30288744395528594</v>
      </c>
      <c r="D18" s="71">
        <f t="shared" si="5"/>
        <v>0.29821412265024722</v>
      </c>
      <c r="E18" s="71">
        <f t="shared" si="5"/>
        <v>0.31510222870075566</v>
      </c>
      <c r="F18" s="13">
        <f t="shared" si="5"/>
        <v>0.31970799762591884</v>
      </c>
      <c r="G18" s="72">
        <f t="shared" si="5"/>
        <v>0.32099999999999995</v>
      </c>
      <c r="H18" s="72">
        <f t="shared" si="5"/>
        <v>0.32200000000000001</v>
      </c>
      <c r="I18" s="74">
        <f t="shared" si="5"/>
        <v>0.3239999999999999</v>
      </c>
    </row>
    <row r="19" spans="1:9" ht="15" customHeight="1" x14ac:dyDescent="0.2">
      <c r="A19" s="48"/>
      <c r="B19" s="49"/>
      <c r="C19" s="49"/>
      <c r="D19" s="49"/>
      <c r="E19" s="49"/>
      <c r="F19" s="48"/>
      <c r="G19" s="53"/>
      <c r="H19" s="53"/>
      <c r="I19" s="55"/>
    </row>
    <row r="20" spans="1:9" ht="15" customHeight="1" x14ac:dyDescent="0.2">
      <c r="A20" s="58" t="s">
        <v>39</v>
      </c>
      <c r="B20" s="59">
        <v>258</v>
      </c>
      <c r="C20" s="59">
        <v>-334</v>
      </c>
      <c r="D20" s="59">
        <v>-565</v>
      </c>
      <c r="E20" s="59">
        <v>269</v>
      </c>
      <c r="F20" s="60">
        <v>-321</v>
      </c>
      <c r="G20" s="64">
        <f>F20</f>
        <v>-321</v>
      </c>
      <c r="H20" s="64">
        <f>G20</f>
        <v>-321</v>
      </c>
      <c r="I20" s="66">
        <f>H20</f>
        <v>-321</v>
      </c>
    </row>
    <row r="21" spans="1:9" ht="15" customHeight="1" x14ac:dyDescent="0.2">
      <c r="A21" s="11" t="s">
        <v>40</v>
      </c>
      <c r="B21" s="67">
        <f t="shared" ref="B21:I21" si="6">B17+B20</f>
        <v>109207</v>
      </c>
      <c r="C21" s="67">
        <f t="shared" si="6"/>
        <v>119103</v>
      </c>
      <c r="D21" s="67">
        <f t="shared" si="6"/>
        <v>113736</v>
      </c>
      <c r="E21" s="67">
        <f t="shared" si="6"/>
        <v>123485</v>
      </c>
      <c r="F21" s="68">
        <f t="shared" si="6"/>
        <v>132729</v>
      </c>
      <c r="G21" s="67">
        <f t="shared" si="6"/>
        <v>141413.36567999999</v>
      </c>
      <c r="H21" s="67">
        <f t="shared" si="6"/>
        <v>150297.61386879999</v>
      </c>
      <c r="I21" s="68">
        <f t="shared" si="6"/>
        <v>159933.40812364797</v>
      </c>
    </row>
    <row r="22" spans="1:9" ht="15" customHeight="1" x14ac:dyDescent="0.2">
      <c r="A22" s="58" t="s">
        <v>41</v>
      </c>
      <c r="B22" s="59">
        <v>14527</v>
      </c>
      <c r="C22" s="59">
        <v>19300</v>
      </c>
      <c r="D22" s="59">
        <v>16741</v>
      </c>
      <c r="E22" s="59">
        <v>29749</v>
      </c>
      <c r="F22" s="60">
        <v>20719</v>
      </c>
      <c r="G22" s="40">
        <f>G21*Assumptions!B11</f>
        <v>22626.138508799999</v>
      </c>
      <c r="H22" s="78">
        <f>H21*Assumptions!C11</f>
        <v>24047.618219008</v>
      </c>
      <c r="I22" s="70">
        <f>I21*Assumptions!D11</f>
        <v>25589.345299783676</v>
      </c>
    </row>
    <row r="23" spans="1:9" ht="15" customHeight="1" x14ac:dyDescent="0.2">
      <c r="A23" s="11" t="s">
        <v>42</v>
      </c>
      <c r="B23" s="67">
        <f t="shared" ref="B23:I23" si="7">B21-B22</f>
        <v>94680</v>
      </c>
      <c r="C23" s="67">
        <f t="shared" si="7"/>
        <v>99803</v>
      </c>
      <c r="D23" s="67">
        <f t="shared" si="7"/>
        <v>96995</v>
      </c>
      <c r="E23" s="67">
        <f t="shared" si="7"/>
        <v>93736</v>
      </c>
      <c r="F23" s="68">
        <f t="shared" si="7"/>
        <v>112010</v>
      </c>
      <c r="G23" s="67">
        <f t="shared" si="7"/>
        <v>118787.22717119999</v>
      </c>
      <c r="H23" s="67">
        <f t="shared" si="7"/>
        <v>126249.99564979199</v>
      </c>
      <c r="I23" s="68">
        <f t="shared" si="7"/>
        <v>134344.06282386428</v>
      </c>
    </row>
    <row r="24" spans="1:9" ht="15" customHeight="1" x14ac:dyDescent="0.2">
      <c r="A24" s="58" t="s">
        <v>43</v>
      </c>
      <c r="B24" s="71">
        <f t="shared" ref="B24:I24" si="8">IFERROR(B23/B7,"-")</f>
        <v>0.25881793355694238</v>
      </c>
      <c r="C24" s="71">
        <f t="shared" si="8"/>
        <v>0.25309640705199732</v>
      </c>
      <c r="D24" s="71">
        <f t="shared" si="8"/>
        <v>0.25306234264320282</v>
      </c>
      <c r="E24" s="71">
        <f t="shared" si="8"/>
        <v>0.23971255769943867</v>
      </c>
      <c r="F24" s="13">
        <f t="shared" si="8"/>
        <v>0.26915064121818238</v>
      </c>
      <c r="G24" s="72">
        <f t="shared" si="8"/>
        <v>0.26902931931162394</v>
      </c>
      <c r="H24" s="73">
        <f t="shared" si="8"/>
        <v>0.26990355013255113</v>
      </c>
      <c r="I24" s="79">
        <f t="shared" si="8"/>
        <v>0.27161484582282064</v>
      </c>
    </row>
    <row r="25" spans="1:9" ht="15" customHeight="1" x14ac:dyDescent="0.2">
      <c r="A25" s="48"/>
      <c r="B25" s="49"/>
      <c r="C25" s="49"/>
      <c r="D25" s="49"/>
      <c r="E25" s="49"/>
      <c r="F25" s="49"/>
      <c r="G25" s="56"/>
      <c r="H25" s="54"/>
      <c r="I25" s="55"/>
    </row>
    <row r="26" spans="1:9" ht="15" customHeight="1" x14ac:dyDescent="0.2">
      <c r="A26" s="24" t="s">
        <v>44</v>
      </c>
      <c r="B26" s="25">
        <v>5.61</v>
      </c>
      <c r="C26" s="25">
        <v>6.11</v>
      </c>
      <c r="D26" s="25">
        <v>6.13</v>
      </c>
      <c r="E26" s="25">
        <v>6.08</v>
      </c>
      <c r="F26" s="25">
        <v>7.46</v>
      </c>
      <c r="G26" s="80">
        <f>IFERROR(G23/Assumptions!B19,"-")</f>
        <v>8.119427694545454</v>
      </c>
      <c r="H26" s="81">
        <f>IFERROR(H23/Assumptions!C19,"-")</f>
        <v>8.8509531442647216</v>
      </c>
      <c r="I26" s="82">
        <f>IFERROR(I23/Assumptions!D19,"-")</f>
        <v>9.6601756542650659</v>
      </c>
    </row>
  </sheetData>
  <mergeCells count="5">
    <mergeCell ref="A1:I1"/>
    <mergeCell ref="B2:F2"/>
    <mergeCell ref="G2:I2"/>
    <mergeCell ref="A4:I4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"/>
  <sheetViews>
    <sheetView tabSelected="1" zoomScale="90" zoomScaleNormal="100" workbookViewId="0">
      <selection activeCell="L15" sqref="L15"/>
    </sheetView>
  </sheetViews>
  <sheetFormatPr baseColWidth="10" defaultColWidth="8.6640625" defaultRowHeight="15" x14ac:dyDescent="0.2"/>
  <cols>
    <col min="1" max="1" width="32" customWidth="1"/>
    <col min="2" max="9" width="13" customWidth="1"/>
  </cols>
  <sheetData>
    <row r="1" spans="1:12" ht="25.5" customHeight="1" x14ac:dyDescent="0.2">
      <c r="A1" s="86" t="s">
        <v>45</v>
      </c>
      <c r="B1" s="86"/>
      <c r="C1" s="86"/>
      <c r="D1" s="86"/>
      <c r="E1" s="86"/>
      <c r="F1" s="86"/>
      <c r="G1" s="86"/>
      <c r="H1" s="86"/>
      <c r="I1" s="86"/>
    </row>
    <row r="2" spans="1:12" ht="15" customHeight="1" x14ac:dyDescent="0.2">
      <c r="A2" s="87" t="s">
        <v>22</v>
      </c>
      <c r="B2" s="88" t="s">
        <v>23</v>
      </c>
      <c r="C2" s="88" t="s">
        <v>24</v>
      </c>
      <c r="D2" s="88" t="s">
        <v>25</v>
      </c>
      <c r="E2" s="88" t="s">
        <v>26</v>
      </c>
      <c r="F2" s="88" t="s">
        <v>173</v>
      </c>
      <c r="G2" s="89" t="s">
        <v>2</v>
      </c>
      <c r="H2" s="89" t="s">
        <v>3</v>
      </c>
      <c r="I2" s="90" t="s">
        <v>174</v>
      </c>
    </row>
    <row r="3" spans="1:12" ht="15" customHeight="1" x14ac:dyDescent="0.2">
      <c r="A3" s="94" t="s">
        <v>46</v>
      </c>
      <c r="B3" s="95"/>
      <c r="C3" s="95"/>
      <c r="D3" s="95"/>
      <c r="E3" s="95"/>
      <c r="F3" s="95"/>
      <c r="G3" s="95"/>
      <c r="H3" s="95"/>
      <c r="I3" s="96"/>
    </row>
    <row r="4" spans="1:12" ht="15" customHeight="1" x14ac:dyDescent="0.2">
      <c r="A4" s="97" t="s">
        <v>47</v>
      </c>
      <c r="B4" s="98"/>
      <c r="C4" s="98"/>
      <c r="D4" s="98"/>
      <c r="E4" s="98"/>
      <c r="F4" s="98"/>
      <c r="G4" s="98"/>
      <c r="H4" s="98"/>
      <c r="I4" s="99"/>
    </row>
    <row r="5" spans="1:12" ht="15" customHeight="1" x14ac:dyDescent="0.2">
      <c r="A5" s="100" t="s">
        <v>48</v>
      </c>
      <c r="B5" s="101">
        <v>34940</v>
      </c>
      <c r="C5" s="101">
        <v>23646</v>
      </c>
      <c r="D5" s="101">
        <v>29965</v>
      </c>
      <c r="E5" s="101">
        <v>29943</v>
      </c>
      <c r="F5" s="102">
        <v>35934</v>
      </c>
      <c r="G5" s="101">
        <f>'Cash Flow Statement'!G37</f>
        <v>54696.088169556169</v>
      </c>
      <c r="H5" s="101">
        <f>'Cash Flow Statement'!H37</f>
        <v>81258.665112192044</v>
      </c>
      <c r="I5" s="102">
        <f>'Cash Flow Statement'!I37</f>
        <v>115533.80479204141</v>
      </c>
    </row>
    <row r="6" spans="1:12" ht="15" customHeight="1" x14ac:dyDescent="0.2">
      <c r="A6" s="100" t="s">
        <v>175</v>
      </c>
      <c r="B6" s="101">
        <v>27699</v>
      </c>
      <c r="C6" s="101">
        <v>24658</v>
      </c>
      <c r="D6" s="101">
        <v>31590</v>
      </c>
      <c r="E6" s="101">
        <v>35228</v>
      </c>
      <c r="F6" s="102">
        <v>18763</v>
      </c>
      <c r="G6" s="101">
        <f t="shared" ref="G6:I10" si="0">F6</f>
        <v>18763</v>
      </c>
      <c r="H6" s="101">
        <f t="shared" si="0"/>
        <v>18763</v>
      </c>
      <c r="I6" s="102">
        <f t="shared" si="0"/>
        <v>18763</v>
      </c>
    </row>
    <row r="7" spans="1:12" ht="15" customHeight="1" x14ac:dyDescent="0.2">
      <c r="A7" s="100" t="s">
        <v>49</v>
      </c>
      <c r="B7" s="101">
        <v>26278</v>
      </c>
      <c r="C7" s="101">
        <v>28184</v>
      </c>
      <c r="D7" s="101">
        <v>29508</v>
      </c>
      <c r="E7" s="101">
        <v>33410</v>
      </c>
      <c r="F7" s="102">
        <v>39777</v>
      </c>
      <c r="G7" s="101">
        <f>'Income Statement'!G7*Assumptions!B13/365</f>
        <v>42339.459726027402</v>
      </c>
      <c r="H7" s="101">
        <f>'Income Statement'!H7*Assumptions!C13/365</f>
        <v>44853.66702465753</v>
      </c>
      <c r="I7" s="102">
        <f>'Income Statement'!I7*Assumptions!D13/365</f>
        <v>47428.583496767133</v>
      </c>
    </row>
    <row r="8" spans="1:12" ht="15" customHeight="1" x14ac:dyDescent="0.2">
      <c r="A8" s="100" t="s">
        <v>50</v>
      </c>
      <c r="B8" s="101">
        <v>6580</v>
      </c>
      <c r="C8" s="101">
        <v>4946</v>
      </c>
      <c r="D8" s="101">
        <v>6331</v>
      </c>
      <c r="E8" s="101">
        <v>7286</v>
      </c>
      <c r="F8" s="102">
        <v>5718</v>
      </c>
      <c r="G8" s="101">
        <f>'Income Statement'!G10*Assumptions!B14/365</f>
        <v>6411.403901369863</v>
      </c>
      <c r="H8" s="101">
        <f>'Income Statement'!H10*Assumptions!C14/365</f>
        <v>6766.4960540054799</v>
      </c>
      <c r="I8" s="102">
        <f>'Income Statement'!I10*Assumptions!D14/365</f>
        <v>7114.287524515069</v>
      </c>
      <c r="J8" s="3"/>
      <c r="K8" s="3"/>
      <c r="L8" s="3"/>
    </row>
    <row r="9" spans="1:12" ht="15" customHeight="1" x14ac:dyDescent="0.2">
      <c r="A9" s="100" t="s">
        <v>176</v>
      </c>
      <c r="B9" s="101">
        <v>25228</v>
      </c>
      <c r="C9" s="101">
        <v>32748</v>
      </c>
      <c r="D9" s="101">
        <v>31477</v>
      </c>
      <c r="E9" s="101">
        <v>32833</v>
      </c>
      <c r="F9" s="102">
        <v>33180</v>
      </c>
      <c r="G9" s="101">
        <f t="shared" si="0"/>
        <v>33180</v>
      </c>
      <c r="H9" s="101">
        <f t="shared" si="0"/>
        <v>33180</v>
      </c>
      <c r="I9" s="102">
        <f t="shared" si="0"/>
        <v>33180</v>
      </c>
    </row>
    <row r="10" spans="1:12" ht="15" customHeight="1" x14ac:dyDescent="0.2">
      <c r="A10" s="100" t="s">
        <v>51</v>
      </c>
      <c r="B10" s="101">
        <v>14111</v>
      </c>
      <c r="C10" s="101">
        <v>21223</v>
      </c>
      <c r="D10" s="101">
        <v>14695</v>
      </c>
      <c r="E10" s="101">
        <v>14287</v>
      </c>
      <c r="F10" s="102">
        <v>14585</v>
      </c>
      <c r="G10" s="101">
        <f t="shared" si="0"/>
        <v>14585</v>
      </c>
      <c r="H10" s="101">
        <f t="shared" si="0"/>
        <v>14585</v>
      </c>
      <c r="I10" s="102">
        <f t="shared" si="0"/>
        <v>14585</v>
      </c>
    </row>
    <row r="11" spans="1:12" ht="15" customHeight="1" x14ac:dyDescent="0.2">
      <c r="A11" s="103" t="s">
        <v>52</v>
      </c>
      <c r="B11" s="104">
        <f t="shared" ref="B11:I11" si="1">SUM(B5:B10)</f>
        <v>134836</v>
      </c>
      <c r="C11" s="104">
        <f t="shared" si="1"/>
        <v>135405</v>
      </c>
      <c r="D11" s="104">
        <f t="shared" si="1"/>
        <v>143566</v>
      </c>
      <c r="E11" s="104">
        <f t="shared" si="1"/>
        <v>152987</v>
      </c>
      <c r="F11" s="105">
        <f t="shared" si="1"/>
        <v>147957</v>
      </c>
      <c r="G11" s="104">
        <f t="shared" si="1"/>
        <v>169974.95179695345</v>
      </c>
      <c r="H11" s="104">
        <f t="shared" si="1"/>
        <v>199406.82819085507</v>
      </c>
      <c r="I11" s="105">
        <f t="shared" si="1"/>
        <v>236604.67581332361</v>
      </c>
    </row>
    <row r="12" spans="1:12" x14ac:dyDescent="0.2">
      <c r="A12" s="91"/>
      <c r="B12" s="92"/>
      <c r="C12" s="92"/>
      <c r="D12" s="92"/>
      <c r="E12" s="92"/>
      <c r="F12" s="93"/>
      <c r="G12" s="92"/>
      <c r="H12" s="92"/>
      <c r="I12" s="93"/>
    </row>
    <row r="13" spans="1:12" ht="15" customHeight="1" x14ac:dyDescent="0.2">
      <c r="A13" s="97" t="s">
        <v>53</v>
      </c>
      <c r="B13" s="98"/>
      <c r="C13" s="98"/>
      <c r="D13" s="98"/>
      <c r="E13" s="98"/>
      <c r="F13" s="98"/>
      <c r="G13" s="98"/>
      <c r="H13" s="98"/>
      <c r="I13" s="99"/>
    </row>
    <row r="14" spans="1:12" ht="15" customHeight="1" x14ac:dyDescent="0.2">
      <c r="A14" s="100" t="s">
        <v>175</v>
      </c>
      <c r="B14" s="101">
        <v>127877</v>
      </c>
      <c r="C14" s="101">
        <v>120805</v>
      </c>
      <c r="D14" s="101">
        <v>100544</v>
      </c>
      <c r="E14" s="101">
        <v>91479</v>
      </c>
      <c r="F14" s="102">
        <v>77723</v>
      </c>
      <c r="G14" s="101">
        <f t="shared" ref="G14:I16" si="2">F14</f>
        <v>77723</v>
      </c>
      <c r="H14" s="101">
        <f t="shared" si="2"/>
        <v>77723</v>
      </c>
      <c r="I14" s="102">
        <f t="shared" si="2"/>
        <v>77723</v>
      </c>
    </row>
    <row r="15" spans="1:12" ht="15" customHeight="1" x14ac:dyDescent="0.2">
      <c r="A15" s="100" t="s">
        <v>54</v>
      </c>
      <c r="B15" s="101">
        <v>39440</v>
      </c>
      <c r="C15" s="101">
        <v>42117</v>
      </c>
      <c r="D15" s="101">
        <v>43715</v>
      </c>
      <c r="E15" s="101">
        <v>45680</v>
      </c>
      <c r="F15" s="102">
        <v>49834</v>
      </c>
      <c r="G15" s="101">
        <f>F15-'Cash Flow Statement'!G20-'Cash Flow Statement'!G5</f>
        <v>51158.620240000004</v>
      </c>
      <c r="H15" s="101">
        <f>G15-'Cash Flow Statement'!H20-'Cash Flow Statement'!H5</f>
        <v>52561.899251200011</v>
      </c>
      <c r="I15" s="102">
        <f>H15-'Cash Flow Statement'!I20-'Cash Flow Statement'!I5</f>
        <v>54045.73636345601</v>
      </c>
    </row>
    <row r="16" spans="1:12" ht="15" customHeight="1" x14ac:dyDescent="0.2">
      <c r="A16" s="100" t="s">
        <v>55</v>
      </c>
      <c r="B16" s="101">
        <v>48849</v>
      </c>
      <c r="C16" s="101">
        <v>54428</v>
      </c>
      <c r="D16" s="101">
        <v>64758</v>
      </c>
      <c r="E16" s="101">
        <v>74834</v>
      </c>
      <c r="F16" s="102">
        <v>83727</v>
      </c>
      <c r="G16" s="101">
        <f t="shared" si="2"/>
        <v>83727</v>
      </c>
      <c r="H16" s="101">
        <f t="shared" si="2"/>
        <v>83727</v>
      </c>
      <c r="I16" s="102">
        <f t="shared" si="2"/>
        <v>83727</v>
      </c>
    </row>
    <row r="17" spans="1:9" ht="15" customHeight="1" x14ac:dyDescent="0.2">
      <c r="A17" s="103" t="s">
        <v>56</v>
      </c>
      <c r="B17" s="104">
        <f t="shared" ref="B17:I17" si="3">SUM(B14:B16)</f>
        <v>216166</v>
      </c>
      <c r="C17" s="104">
        <f t="shared" si="3"/>
        <v>217350</v>
      </c>
      <c r="D17" s="104">
        <f t="shared" si="3"/>
        <v>209017</v>
      </c>
      <c r="E17" s="104">
        <f t="shared" si="3"/>
        <v>211993</v>
      </c>
      <c r="F17" s="105">
        <f t="shared" si="3"/>
        <v>211284</v>
      </c>
      <c r="G17" s="104">
        <f t="shared" si="3"/>
        <v>212608.62024000002</v>
      </c>
      <c r="H17" s="104">
        <f t="shared" si="3"/>
        <v>214011.89925120003</v>
      </c>
      <c r="I17" s="105">
        <f t="shared" si="3"/>
        <v>215495.736363456</v>
      </c>
    </row>
    <row r="18" spans="1:9" ht="15" customHeight="1" x14ac:dyDescent="0.2">
      <c r="A18" s="103" t="s">
        <v>57</v>
      </c>
      <c r="B18" s="104">
        <f t="shared" ref="B18:I18" si="4">B11+B17</f>
        <v>351002</v>
      </c>
      <c r="C18" s="104">
        <f t="shared" si="4"/>
        <v>352755</v>
      </c>
      <c r="D18" s="104">
        <f t="shared" si="4"/>
        <v>352583</v>
      </c>
      <c r="E18" s="104">
        <f t="shared" si="4"/>
        <v>364980</v>
      </c>
      <c r="F18" s="105">
        <f t="shared" si="4"/>
        <v>359241</v>
      </c>
      <c r="G18" s="104">
        <f t="shared" si="4"/>
        <v>382583.57203695347</v>
      </c>
      <c r="H18" s="104">
        <f t="shared" si="4"/>
        <v>413418.72744205513</v>
      </c>
      <c r="I18" s="105">
        <f t="shared" si="4"/>
        <v>452100.41217677959</v>
      </c>
    </row>
    <row r="19" spans="1:9" x14ac:dyDescent="0.2">
      <c r="A19" s="91"/>
      <c r="B19" s="92"/>
      <c r="C19" s="92"/>
      <c r="D19" s="92"/>
      <c r="E19" s="92"/>
      <c r="F19" s="93"/>
      <c r="G19" s="92"/>
      <c r="H19" s="92"/>
      <c r="I19" s="93"/>
    </row>
    <row r="20" spans="1:9" ht="15" customHeight="1" x14ac:dyDescent="0.2">
      <c r="A20" s="94" t="s">
        <v>58</v>
      </c>
      <c r="B20" s="95"/>
      <c r="C20" s="95"/>
      <c r="D20" s="95"/>
      <c r="E20" s="95"/>
      <c r="F20" s="95"/>
      <c r="G20" s="95"/>
      <c r="H20" s="95"/>
      <c r="I20" s="96"/>
    </row>
    <row r="21" spans="1:9" ht="15" customHeight="1" x14ac:dyDescent="0.2">
      <c r="A21" s="97" t="s">
        <v>59</v>
      </c>
      <c r="B21" s="98"/>
      <c r="C21" s="98"/>
      <c r="D21" s="98"/>
      <c r="E21" s="98"/>
      <c r="F21" s="98"/>
      <c r="G21" s="98"/>
      <c r="H21" s="98"/>
      <c r="I21" s="99"/>
    </row>
    <row r="22" spans="1:9" ht="15" customHeight="1" x14ac:dyDescent="0.2">
      <c r="A22" s="100" t="s">
        <v>60</v>
      </c>
      <c r="B22" s="101">
        <v>54763</v>
      </c>
      <c r="C22" s="101">
        <v>64115</v>
      </c>
      <c r="D22" s="101">
        <v>62611</v>
      </c>
      <c r="E22" s="101">
        <v>68960</v>
      </c>
      <c r="F22" s="102">
        <v>69860</v>
      </c>
      <c r="G22" s="101">
        <f>'Income Statement'!G10*Assumptions!B15/365</f>
        <v>73731.144865753435</v>
      </c>
      <c r="H22" s="101">
        <f>'Income Statement'!H10*Assumptions!C15/365</f>
        <v>77814.704621063021</v>
      </c>
      <c r="I22" s="102">
        <f>'Income Statement'!I10*Assumptions!D15/365</f>
        <v>81814.306531923299</v>
      </c>
    </row>
    <row r="23" spans="1:9" ht="15" customHeight="1" x14ac:dyDescent="0.2">
      <c r="A23" s="100" t="s">
        <v>62</v>
      </c>
      <c r="B23" s="101">
        <v>47493</v>
      </c>
      <c r="C23" s="101">
        <v>60845</v>
      </c>
      <c r="D23" s="101">
        <v>58829</v>
      </c>
      <c r="E23" s="101">
        <v>78304</v>
      </c>
      <c r="F23" s="102">
        <v>66387</v>
      </c>
      <c r="G23" s="101">
        <f t="shared" ref="G23:I26" si="5">F23</f>
        <v>66387</v>
      </c>
      <c r="H23" s="101">
        <f t="shared" si="5"/>
        <v>66387</v>
      </c>
      <c r="I23" s="102">
        <f t="shared" si="5"/>
        <v>66387</v>
      </c>
    </row>
    <row r="24" spans="1:9" ht="15" customHeight="1" x14ac:dyDescent="0.2">
      <c r="A24" s="100" t="s">
        <v>61</v>
      </c>
      <c r="B24" s="101">
        <v>7612</v>
      </c>
      <c r="C24" s="101">
        <v>7912</v>
      </c>
      <c r="D24" s="101">
        <v>8061</v>
      </c>
      <c r="E24" s="101">
        <v>8249</v>
      </c>
      <c r="F24" s="102">
        <v>9055</v>
      </c>
      <c r="G24" s="101">
        <f t="shared" si="5"/>
        <v>9055</v>
      </c>
      <c r="H24" s="101">
        <f t="shared" si="5"/>
        <v>9055</v>
      </c>
      <c r="I24" s="102">
        <f t="shared" si="5"/>
        <v>9055</v>
      </c>
    </row>
    <row r="25" spans="1:9" ht="15" customHeight="1" x14ac:dyDescent="0.2">
      <c r="A25" s="100" t="s">
        <v>177</v>
      </c>
      <c r="B25" s="101">
        <v>6000</v>
      </c>
      <c r="C25" s="101">
        <v>9982</v>
      </c>
      <c r="D25" s="101">
        <v>5985</v>
      </c>
      <c r="E25" s="101">
        <v>9967</v>
      </c>
      <c r="F25" s="102">
        <v>7979</v>
      </c>
      <c r="G25" s="101">
        <f t="shared" si="5"/>
        <v>7979</v>
      </c>
      <c r="H25" s="101">
        <f t="shared" si="5"/>
        <v>7979</v>
      </c>
      <c r="I25" s="102">
        <f t="shared" si="5"/>
        <v>7979</v>
      </c>
    </row>
    <row r="26" spans="1:9" ht="15" customHeight="1" x14ac:dyDescent="0.2">
      <c r="A26" s="100" t="s">
        <v>178</v>
      </c>
      <c r="B26" s="101">
        <v>9613</v>
      </c>
      <c r="C26" s="101">
        <v>11128</v>
      </c>
      <c r="D26" s="101">
        <v>9822</v>
      </c>
      <c r="E26" s="101">
        <v>10912</v>
      </c>
      <c r="F26" s="102">
        <v>12350</v>
      </c>
      <c r="G26" s="101">
        <f t="shared" si="5"/>
        <v>12350</v>
      </c>
      <c r="H26" s="101">
        <f t="shared" si="5"/>
        <v>12350</v>
      </c>
      <c r="I26" s="102">
        <f t="shared" si="5"/>
        <v>12350</v>
      </c>
    </row>
    <row r="27" spans="1:9" ht="15" customHeight="1" x14ac:dyDescent="0.2">
      <c r="A27" s="103" t="s">
        <v>63</v>
      </c>
      <c r="B27" s="104">
        <f t="shared" ref="B27:G27" si="6">SUM(B22:B26)</f>
        <v>125481</v>
      </c>
      <c r="C27" s="104">
        <f t="shared" si="6"/>
        <v>153982</v>
      </c>
      <c r="D27" s="104">
        <f t="shared" si="6"/>
        <v>145308</v>
      </c>
      <c r="E27" s="104">
        <f t="shared" si="6"/>
        <v>176392</v>
      </c>
      <c r="F27" s="105">
        <f t="shared" si="6"/>
        <v>165631</v>
      </c>
      <c r="G27" s="104">
        <f t="shared" si="6"/>
        <v>169502.14486575342</v>
      </c>
      <c r="H27" s="104">
        <f t="shared" ref="H27:I27" si="7">SUM(H22:H26)</f>
        <v>173585.70462106302</v>
      </c>
      <c r="I27" s="105">
        <f t="shared" si="7"/>
        <v>177585.3065319233</v>
      </c>
    </row>
    <row r="28" spans="1:9" x14ac:dyDescent="0.2">
      <c r="A28" s="91"/>
      <c r="B28" s="92"/>
      <c r="C28" s="92"/>
      <c r="D28" s="92"/>
      <c r="E28" s="92"/>
      <c r="F28" s="93"/>
      <c r="G28" s="92"/>
      <c r="H28" s="92"/>
      <c r="I28" s="93"/>
    </row>
    <row r="29" spans="1:9" ht="15" customHeight="1" x14ac:dyDescent="0.2">
      <c r="A29" s="97" t="s">
        <v>64</v>
      </c>
      <c r="B29" s="98"/>
      <c r="C29" s="98"/>
      <c r="D29" s="98"/>
      <c r="E29" s="98"/>
      <c r="F29" s="98"/>
      <c r="G29" s="98"/>
      <c r="H29" s="98"/>
      <c r="I29" s="99"/>
    </row>
    <row r="30" spans="1:9" ht="15" customHeight="1" x14ac:dyDescent="0.2">
      <c r="A30" s="100" t="s">
        <v>65</v>
      </c>
      <c r="B30" s="101">
        <v>109106</v>
      </c>
      <c r="C30" s="101">
        <v>98959</v>
      </c>
      <c r="D30" s="101">
        <v>95281</v>
      </c>
      <c r="E30" s="101">
        <v>85750</v>
      </c>
      <c r="F30" s="102">
        <v>78328</v>
      </c>
      <c r="G30" s="101">
        <f t="shared" ref="G30:I31" si="8">F30</f>
        <v>78328</v>
      </c>
      <c r="H30" s="101">
        <f t="shared" si="8"/>
        <v>78328</v>
      </c>
      <c r="I30" s="102">
        <f t="shared" si="8"/>
        <v>78328</v>
      </c>
    </row>
    <row r="31" spans="1:9" ht="15" customHeight="1" x14ac:dyDescent="0.2">
      <c r="A31" s="100" t="s">
        <v>66</v>
      </c>
      <c r="B31" s="101">
        <v>53325</v>
      </c>
      <c r="C31" s="101">
        <v>49142</v>
      </c>
      <c r="D31" s="101">
        <v>49848</v>
      </c>
      <c r="E31" s="101">
        <v>45888</v>
      </c>
      <c r="F31" s="102">
        <v>41549</v>
      </c>
      <c r="G31" s="101">
        <f t="shared" si="8"/>
        <v>41549</v>
      </c>
      <c r="H31" s="101">
        <f t="shared" si="8"/>
        <v>41549</v>
      </c>
      <c r="I31" s="102">
        <f t="shared" si="8"/>
        <v>41549</v>
      </c>
    </row>
    <row r="32" spans="1:9" ht="15" customHeight="1" x14ac:dyDescent="0.2">
      <c r="A32" s="103" t="s">
        <v>67</v>
      </c>
      <c r="B32" s="104">
        <f t="shared" ref="B32:I32" si="9">SUM(B30:B31)</f>
        <v>162431</v>
      </c>
      <c r="C32" s="104">
        <f t="shared" si="9"/>
        <v>148101</v>
      </c>
      <c r="D32" s="104">
        <f t="shared" si="9"/>
        <v>145129</v>
      </c>
      <c r="E32" s="104">
        <f t="shared" si="9"/>
        <v>131638</v>
      </c>
      <c r="F32" s="105">
        <f t="shared" si="9"/>
        <v>119877</v>
      </c>
      <c r="G32" s="104">
        <f t="shared" si="9"/>
        <v>119877</v>
      </c>
      <c r="H32" s="104">
        <f t="shared" si="9"/>
        <v>119877</v>
      </c>
      <c r="I32" s="105">
        <f t="shared" si="9"/>
        <v>119877</v>
      </c>
    </row>
    <row r="33" spans="1:9" ht="15" customHeight="1" x14ac:dyDescent="0.2">
      <c r="A33" s="103" t="s">
        <v>68</v>
      </c>
      <c r="B33" s="104">
        <f t="shared" ref="B33:I33" si="10">B27+B32</f>
        <v>287912</v>
      </c>
      <c r="C33" s="104">
        <f t="shared" si="10"/>
        <v>302083</v>
      </c>
      <c r="D33" s="104">
        <f t="shared" si="10"/>
        <v>290437</v>
      </c>
      <c r="E33" s="104">
        <f t="shared" si="10"/>
        <v>308030</v>
      </c>
      <c r="F33" s="105">
        <f t="shared" si="10"/>
        <v>285508</v>
      </c>
      <c r="G33" s="104">
        <f t="shared" si="10"/>
        <v>289379.14486575342</v>
      </c>
      <c r="H33" s="104">
        <f t="shared" si="10"/>
        <v>293462.70462106302</v>
      </c>
      <c r="I33" s="105">
        <f t="shared" si="10"/>
        <v>297462.3065319233</v>
      </c>
    </row>
    <row r="34" spans="1:9" x14ac:dyDescent="0.2">
      <c r="A34" s="91"/>
      <c r="B34" s="92"/>
      <c r="C34" s="92"/>
      <c r="D34" s="92"/>
      <c r="E34" s="92"/>
      <c r="F34" s="93"/>
      <c r="G34" s="92"/>
      <c r="H34" s="92"/>
      <c r="I34" s="93"/>
    </row>
    <row r="35" spans="1:9" ht="15" customHeight="1" x14ac:dyDescent="0.2">
      <c r="A35" s="97" t="s">
        <v>69</v>
      </c>
      <c r="B35" s="98"/>
      <c r="C35" s="98"/>
      <c r="D35" s="98"/>
      <c r="E35" s="98"/>
      <c r="F35" s="98"/>
      <c r="G35" s="98"/>
      <c r="H35" s="98"/>
      <c r="I35" s="99"/>
    </row>
    <row r="36" spans="1:9" ht="15" customHeight="1" x14ac:dyDescent="0.2">
      <c r="A36" s="100" t="s">
        <v>70</v>
      </c>
      <c r="B36" s="101">
        <v>57365</v>
      </c>
      <c r="C36" s="101">
        <v>64849</v>
      </c>
      <c r="D36" s="101">
        <v>73812</v>
      </c>
      <c r="E36" s="101">
        <v>83276</v>
      </c>
      <c r="F36" s="102">
        <v>93568</v>
      </c>
      <c r="G36" s="101">
        <f>F36+'Cash Flow Statement'!G6</f>
        <v>106431</v>
      </c>
      <c r="H36" s="101">
        <f>G36+'Cash Flow Statement'!H6</f>
        <v>119294</v>
      </c>
      <c r="I36" s="102">
        <f>H36+'Cash Flow Statement'!I6</f>
        <v>132157</v>
      </c>
    </row>
    <row r="37" spans="1:9" ht="15" customHeight="1" x14ac:dyDescent="0.2">
      <c r="A37" s="100" t="s">
        <v>71</v>
      </c>
      <c r="B37" s="101">
        <v>5562</v>
      </c>
      <c r="C37" s="101">
        <v>-3068</v>
      </c>
      <c r="D37" s="101">
        <v>-214</v>
      </c>
      <c r="E37" s="101">
        <v>-19154</v>
      </c>
      <c r="F37" s="102">
        <v>-14264</v>
      </c>
      <c r="G37" s="101">
        <f>F37+'Income Statement'!G23+'Cash Flow Statement'!G25+'Cash Flow Statement'!G26+'Cash Flow Statement'!G27</f>
        <v>-7655.57282880001</v>
      </c>
      <c r="H37" s="101">
        <f>G37+'Income Statement'!H23+'Cash Flow Statement'!H25+'Cash Flow Statement'!H26+'Cash Flow Statement'!H27</f>
        <v>6233.0228209919878</v>
      </c>
      <c r="I37" s="102">
        <f>H37+'Income Statement'!I23+'Cash Flow Statement'!I25+'Cash Flow Statement'!I26+'Cash Flow Statement'!I27</f>
        <v>28052.105644856274</v>
      </c>
    </row>
    <row r="38" spans="1:9" ht="15" customHeight="1" x14ac:dyDescent="0.2">
      <c r="A38" s="100" t="s">
        <v>72</v>
      </c>
      <c r="B38" s="101">
        <v>163</v>
      </c>
      <c r="C38" s="101">
        <v>-11109</v>
      </c>
      <c r="D38" s="101">
        <v>-11452</v>
      </c>
      <c r="E38" s="101">
        <v>-7172</v>
      </c>
      <c r="F38" s="102">
        <v>-5571</v>
      </c>
      <c r="G38" s="101">
        <f t="shared" ref="G38:I38" si="11">F38</f>
        <v>-5571</v>
      </c>
      <c r="H38" s="101">
        <f t="shared" si="11"/>
        <v>-5571</v>
      </c>
      <c r="I38" s="102">
        <f t="shared" si="11"/>
        <v>-5571</v>
      </c>
    </row>
    <row r="39" spans="1:9" ht="15" customHeight="1" x14ac:dyDescent="0.2">
      <c r="A39" s="103" t="s">
        <v>73</v>
      </c>
      <c r="B39" s="104">
        <f t="shared" ref="B39:I39" si="12">SUM(B36:B38)</f>
        <v>63090</v>
      </c>
      <c r="C39" s="104">
        <f t="shared" si="12"/>
        <v>50672</v>
      </c>
      <c r="D39" s="104">
        <f t="shared" si="12"/>
        <v>62146</v>
      </c>
      <c r="E39" s="104">
        <f t="shared" si="12"/>
        <v>56950</v>
      </c>
      <c r="F39" s="105">
        <f t="shared" si="12"/>
        <v>73733</v>
      </c>
      <c r="G39" s="104">
        <f t="shared" si="12"/>
        <v>93204.42717119999</v>
      </c>
      <c r="H39" s="104">
        <f t="shared" si="12"/>
        <v>119956.02282099199</v>
      </c>
      <c r="I39" s="105">
        <f t="shared" si="12"/>
        <v>154638.10564485629</v>
      </c>
    </row>
    <row r="40" spans="1:9" ht="15" customHeight="1" x14ac:dyDescent="0.2">
      <c r="A40" s="106" t="s">
        <v>74</v>
      </c>
      <c r="B40" s="107">
        <f t="shared" ref="B40:I40" si="13">B33+B39</f>
        <v>351002</v>
      </c>
      <c r="C40" s="107">
        <f t="shared" si="13"/>
        <v>352755</v>
      </c>
      <c r="D40" s="107">
        <f t="shared" si="13"/>
        <v>352583</v>
      </c>
      <c r="E40" s="107">
        <f t="shared" si="13"/>
        <v>364980</v>
      </c>
      <c r="F40" s="108">
        <f t="shared" si="13"/>
        <v>359241</v>
      </c>
      <c r="G40" s="107">
        <f t="shared" si="13"/>
        <v>382583.57203695341</v>
      </c>
      <c r="H40" s="107">
        <f t="shared" si="13"/>
        <v>413418.72744205501</v>
      </c>
      <c r="I40" s="108">
        <f t="shared" si="13"/>
        <v>452100.41217677959</v>
      </c>
    </row>
    <row r="42" spans="1:9" ht="15" customHeight="1" x14ac:dyDescent="0.2">
      <c r="A42" s="2"/>
      <c r="B42" s="4"/>
      <c r="C42" s="4"/>
      <c r="D42" s="4"/>
      <c r="E42" s="4"/>
      <c r="F42" s="4"/>
      <c r="G42" s="4"/>
      <c r="H42" s="4"/>
      <c r="I42" s="4"/>
    </row>
  </sheetData>
  <mergeCells count="8">
    <mergeCell ref="A21:I21"/>
    <mergeCell ref="A29:I29"/>
    <mergeCell ref="A35:I35"/>
    <mergeCell ref="A1:I1"/>
    <mergeCell ref="A3:I3"/>
    <mergeCell ref="A4:I4"/>
    <mergeCell ref="A13:I13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9"/>
  <sheetViews>
    <sheetView zoomScaleNormal="100" workbookViewId="0">
      <selection activeCell="K17" sqref="K17"/>
    </sheetView>
  </sheetViews>
  <sheetFormatPr baseColWidth="10" defaultColWidth="8.6640625" defaultRowHeight="15" x14ac:dyDescent="0.2"/>
  <cols>
    <col min="1" max="1" width="35" bestFit="1" customWidth="1"/>
    <col min="2" max="9" width="13" customWidth="1"/>
  </cols>
  <sheetData>
    <row r="1" spans="1:9" ht="25.5" customHeight="1" x14ac:dyDescent="0.2">
      <c r="A1" s="110" t="s">
        <v>75</v>
      </c>
      <c r="B1" s="111"/>
      <c r="C1" s="111"/>
      <c r="D1" s="111"/>
      <c r="E1" s="111"/>
      <c r="F1" s="111"/>
      <c r="G1" s="111"/>
      <c r="H1" s="111"/>
      <c r="I1" s="112"/>
    </row>
    <row r="2" spans="1:9" ht="15" customHeight="1" x14ac:dyDescent="0.2">
      <c r="A2" s="17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17" t="s">
        <v>173</v>
      </c>
      <c r="G2" s="9" t="s">
        <v>2</v>
      </c>
      <c r="H2" s="9" t="s">
        <v>3</v>
      </c>
      <c r="I2" s="15" t="s">
        <v>174</v>
      </c>
    </row>
    <row r="3" spans="1:9" ht="15" customHeight="1" x14ac:dyDescent="0.2">
      <c r="A3" s="10" t="s">
        <v>76</v>
      </c>
      <c r="B3" s="10"/>
      <c r="C3" s="10"/>
      <c r="D3" s="10"/>
      <c r="E3" s="10"/>
      <c r="F3" s="10"/>
      <c r="G3" s="10"/>
      <c r="H3" s="10"/>
      <c r="I3" s="10"/>
    </row>
    <row r="4" spans="1:9" ht="15" customHeight="1" x14ac:dyDescent="0.2">
      <c r="A4" s="58" t="s">
        <v>77</v>
      </c>
      <c r="B4" s="113">
        <f>'Income Statement'!B23</f>
        <v>94680</v>
      </c>
      <c r="C4" s="113">
        <f>'Income Statement'!C23</f>
        <v>99803</v>
      </c>
      <c r="D4" s="113">
        <f>'Income Statement'!D23</f>
        <v>96995</v>
      </c>
      <c r="E4" s="113">
        <f>'Income Statement'!E23</f>
        <v>93736</v>
      </c>
      <c r="F4" s="60">
        <f>'Income Statement'!F23</f>
        <v>112010</v>
      </c>
      <c r="G4" s="113">
        <f>'Income Statement'!G23</f>
        <v>118787.22717119999</v>
      </c>
      <c r="H4" s="113">
        <f>'Income Statement'!H23</f>
        <v>126249.99564979199</v>
      </c>
      <c r="I4" s="60">
        <f>'Income Statement'!I23</f>
        <v>134344.06282386428</v>
      </c>
    </row>
    <row r="5" spans="1:9" ht="15" customHeight="1" x14ac:dyDescent="0.2">
      <c r="A5" s="58" t="s">
        <v>78</v>
      </c>
      <c r="B5" s="113">
        <v>11284</v>
      </c>
      <c r="C5" s="113">
        <v>11104</v>
      </c>
      <c r="D5" s="113">
        <v>11519</v>
      </c>
      <c r="E5" s="113">
        <v>11445</v>
      </c>
      <c r="F5" s="60">
        <v>11698</v>
      </c>
      <c r="G5" s="113">
        <f>'Income Statement'!G7*Assumptions!B17</f>
        <v>12363.122240000001</v>
      </c>
      <c r="H5" s="113">
        <f>'Income Statement'!H7*Assumptions!C17</f>
        <v>13097.270771200001</v>
      </c>
      <c r="I5" s="60">
        <f>'Income Statement'!I7*Assumptions!D17</f>
        <v>13849.146381056</v>
      </c>
    </row>
    <row r="6" spans="1:9" ht="15" customHeight="1" x14ac:dyDescent="0.2">
      <c r="A6" s="58" t="s">
        <v>179</v>
      </c>
      <c r="B6" s="113">
        <v>7906</v>
      </c>
      <c r="C6" s="113">
        <v>9038</v>
      </c>
      <c r="D6" s="113">
        <v>10833</v>
      </c>
      <c r="E6" s="113">
        <v>11688</v>
      </c>
      <c r="F6" s="60">
        <v>12863</v>
      </c>
      <c r="G6" s="113">
        <f t="shared" ref="G6:I7" si="0">F6</f>
        <v>12863</v>
      </c>
      <c r="H6" s="113">
        <f t="shared" si="0"/>
        <v>12863</v>
      </c>
      <c r="I6" s="60">
        <f t="shared" si="0"/>
        <v>12863</v>
      </c>
    </row>
    <row r="7" spans="1:9" ht="15" customHeight="1" x14ac:dyDescent="0.2">
      <c r="A7" s="58" t="s">
        <v>180</v>
      </c>
      <c r="B7" s="113">
        <v>-4921</v>
      </c>
      <c r="C7" s="113">
        <v>1006</v>
      </c>
      <c r="D7" s="113">
        <v>-2227</v>
      </c>
      <c r="E7" s="113">
        <v>-2266</v>
      </c>
      <c r="F7" s="60">
        <v>-89</v>
      </c>
      <c r="G7" s="113">
        <f>0</f>
        <v>0</v>
      </c>
      <c r="H7" s="113">
        <f t="shared" si="0"/>
        <v>0</v>
      </c>
      <c r="I7" s="60">
        <f t="shared" si="0"/>
        <v>0</v>
      </c>
    </row>
    <row r="8" spans="1:9" ht="15" customHeight="1" x14ac:dyDescent="0.2">
      <c r="A8" s="58" t="s">
        <v>79</v>
      </c>
      <c r="B8" s="113">
        <v>-10125</v>
      </c>
      <c r="C8" s="113">
        <v>-1823</v>
      </c>
      <c r="D8" s="113">
        <v>-1688</v>
      </c>
      <c r="E8" s="113">
        <v>-3788</v>
      </c>
      <c r="F8" s="60">
        <v>-6682</v>
      </c>
      <c r="G8" s="113">
        <f>'Balance Sheet'!F7-'Balance Sheet'!G7</f>
        <v>-2562.4597260274022</v>
      </c>
      <c r="H8" s="113">
        <f>'Balance Sheet'!G7-'Balance Sheet'!H7</f>
        <v>-2514.2072986301282</v>
      </c>
      <c r="I8" s="60">
        <f>'Balance Sheet'!H7-'Balance Sheet'!I7</f>
        <v>-2574.9164721096022</v>
      </c>
    </row>
    <row r="9" spans="1:9" ht="15" customHeight="1" x14ac:dyDescent="0.2">
      <c r="A9" s="58" t="s">
        <v>80</v>
      </c>
      <c r="B9" s="113">
        <v>-2642</v>
      </c>
      <c r="C9" s="113">
        <v>1484</v>
      </c>
      <c r="D9" s="113">
        <v>-1618</v>
      </c>
      <c r="E9" s="113">
        <v>-1046</v>
      </c>
      <c r="F9" s="60">
        <v>1400</v>
      </c>
      <c r="G9" s="113">
        <f>'Balance Sheet'!F8-'Balance Sheet'!G8</f>
        <v>-693.40390136986298</v>
      </c>
      <c r="H9" s="113">
        <f>'Balance Sheet'!G8-'Balance Sheet'!H8</f>
        <v>-355.09215263561691</v>
      </c>
      <c r="I9" s="60">
        <f>'Balance Sheet'!H8-'Balance Sheet'!I8</f>
        <v>-347.79147050958909</v>
      </c>
    </row>
    <row r="10" spans="1:9" ht="15" customHeight="1" x14ac:dyDescent="0.2">
      <c r="A10" s="58" t="s">
        <v>187</v>
      </c>
      <c r="B10" s="113">
        <v>-3903</v>
      </c>
      <c r="C10" s="113">
        <v>-7520</v>
      </c>
      <c r="D10" s="113">
        <v>1271</v>
      </c>
      <c r="E10" s="113">
        <v>-1356</v>
      </c>
      <c r="F10" s="60">
        <v>-347</v>
      </c>
      <c r="G10" s="113">
        <f>'Balance Sheet'!F9-'Balance Sheet'!G9</f>
        <v>0</v>
      </c>
      <c r="H10" s="113">
        <f>'Balance Sheet'!G9-'Balance Sheet'!H9</f>
        <v>0</v>
      </c>
      <c r="I10" s="60">
        <f>'Balance Sheet'!H9-'Balance Sheet'!I9</f>
        <v>0</v>
      </c>
    </row>
    <row r="11" spans="1:9" ht="15" customHeight="1" x14ac:dyDescent="0.2">
      <c r="A11" s="58" t="s">
        <v>188</v>
      </c>
      <c r="B11" s="113">
        <v>-8042</v>
      </c>
      <c r="C11" s="113">
        <v>-6499</v>
      </c>
      <c r="D11" s="113">
        <v>-5684</v>
      </c>
      <c r="E11" s="113">
        <v>-11731</v>
      </c>
      <c r="F11" s="60">
        <v>-9197</v>
      </c>
      <c r="G11" s="113">
        <f>('Balance Sheet'!F10+'Balance Sheet'!F16)-('Balance Sheet'!G10+'Balance Sheet'!G16)</f>
        <v>0</v>
      </c>
      <c r="H11" s="113">
        <f>('Balance Sheet'!G10+'Balance Sheet'!G16)-('Balance Sheet'!H10+'Balance Sheet'!H16)</f>
        <v>0</v>
      </c>
      <c r="I11" s="60">
        <f>('Balance Sheet'!H10+'Balance Sheet'!H16)-('Balance Sheet'!I10+'Balance Sheet'!I16)</f>
        <v>0</v>
      </c>
    </row>
    <row r="12" spans="1:9" ht="15" customHeight="1" x14ac:dyDescent="0.2">
      <c r="A12" s="58" t="s">
        <v>81</v>
      </c>
      <c r="B12" s="113">
        <v>12326</v>
      </c>
      <c r="C12" s="113">
        <v>9448</v>
      </c>
      <c r="D12" s="113">
        <v>-1889</v>
      </c>
      <c r="E12" s="113">
        <v>6020</v>
      </c>
      <c r="F12" s="60">
        <v>902</v>
      </c>
      <c r="G12" s="113">
        <f>'Balance Sheet'!G22-'Balance Sheet'!F22</f>
        <v>3871.1448657534347</v>
      </c>
      <c r="H12" s="113">
        <f>'Balance Sheet'!H22-'Balance Sheet'!G22</f>
        <v>4083.5597553095868</v>
      </c>
      <c r="I12" s="60">
        <f>'Balance Sheet'!I22-'Balance Sheet'!H22</f>
        <v>3999.6019108602777</v>
      </c>
    </row>
    <row r="13" spans="1:9" ht="15" customHeight="1" x14ac:dyDescent="0.2">
      <c r="A13" s="58" t="s">
        <v>189</v>
      </c>
      <c r="B13" s="113">
        <v>7475</v>
      </c>
      <c r="C13" s="113">
        <v>6110</v>
      </c>
      <c r="D13" s="113">
        <v>3031</v>
      </c>
      <c r="E13" s="113">
        <v>15552</v>
      </c>
      <c r="F13" s="60">
        <v>-11076</v>
      </c>
      <c r="G13" s="113">
        <f>('Balance Sheet'!G23+'Balance Sheet'!G24+'Balance Sheet'!G31)-('Balance Sheet'!F23+'Balance Sheet'!F24+'Balance Sheet'!F31)</f>
        <v>0</v>
      </c>
      <c r="H13" s="113">
        <f>('Balance Sheet'!H23+'Balance Sheet'!H24+'Balance Sheet'!H31)-('Balance Sheet'!G23+'Balance Sheet'!G24+'Balance Sheet'!G31)</f>
        <v>0</v>
      </c>
      <c r="I13" s="60">
        <f>('Balance Sheet'!I23+'Balance Sheet'!I24+'Balance Sheet'!I31)-('Balance Sheet'!H23+'Balance Sheet'!H24+'Balance Sheet'!H31)</f>
        <v>0</v>
      </c>
    </row>
    <row r="14" spans="1:9" ht="15" customHeight="1" x14ac:dyDescent="0.2">
      <c r="A14" s="11" t="s">
        <v>82</v>
      </c>
      <c r="B14" s="114">
        <f t="shared" ref="B14:I14" si="1">SUM(B4:B13)</f>
        <v>104038</v>
      </c>
      <c r="C14" s="114">
        <f t="shared" si="1"/>
        <v>122151</v>
      </c>
      <c r="D14" s="114">
        <f t="shared" si="1"/>
        <v>110543</v>
      </c>
      <c r="E14" s="114">
        <f t="shared" si="1"/>
        <v>118254</v>
      </c>
      <c r="F14" s="68">
        <f t="shared" si="1"/>
        <v>111482</v>
      </c>
      <c r="G14" s="114">
        <f t="shared" si="1"/>
        <v>144628.63064955617</v>
      </c>
      <c r="H14" s="114">
        <f t="shared" si="1"/>
        <v>153424.52672503586</v>
      </c>
      <c r="I14" s="68">
        <f t="shared" si="1"/>
        <v>162133.10317316136</v>
      </c>
    </row>
    <row r="15" spans="1:9" x14ac:dyDescent="0.2">
      <c r="A15" s="48"/>
      <c r="B15" s="7"/>
      <c r="C15" s="7"/>
      <c r="D15" s="7"/>
      <c r="E15" s="7"/>
      <c r="F15" s="48"/>
      <c r="G15" s="7"/>
      <c r="H15" s="7"/>
      <c r="I15" s="48"/>
    </row>
    <row r="16" spans="1:9" ht="15" customHeight="1" x14ac:dyDescent="0.2">
      <c r="A16" s="10" t="s">
        <v>83</v>
      </c>
      <c r="B16" s="10"/>
      <c r="C16" s="10"/>
      <c r="D16" s="10"/>
      <c r="E16" s="10"/>
      <c r="F16" s="10"/>
      <c r="G16" s="10"/>
      <c r="H16" s="10"/>
      <c r="I16" s="10"/>
    </row>
    <row r="17" spans="1:13" ht="15" customHeight="1" x14ac:dyDescent="0.2">
      <c r="A17" s="58" t="s">
        <v>181</v>
      </c>
      <c r="B17" s="113">
        <v>-109558</v>
      </c>
      <c r="C17" s="113">
        <v>-76923</v>
      </c>
      <c r="D17" s="113">
        <v>-29513</v>
      </c>
      <c r="E17" s="113">
        <v>-48656</v>
      </c>
      <c r="F17" s="60">
        <v>-24407</v>
      </c>
      <c r="G17" s="113">
        <v>0</v>
      </c>
      <c r="H17" s="113">
        <v>0</v>
      </c>
      <c r="I17" s="60">
        <v>0</v>
      </c>
      <c r="M17" s="16"/>
    </row>
    <row r="18" spans="1:13" ht="15" customHeight="1" x14ac:dyDescent="0.2">
      <c r="A18" s="58" t="s">
        <v>182</v>
      </c>
      <c r="B18" s="113">
        <v>59023</v>
      </c>
      <c r="C18" s="113">
        <v>29917</v>
      </c>
      <c r="D18" s="113">
        <v>39686</v>
      </c>
      <c r="E18" s="113">
        <v>51211</v>
      </c>
      <c r="F18" s="60">
        <v>40907</v>
      </c>
      <c r="G18" s="113">
        <v>0</v>
      </c>
      <c r="H18" s="113">
        <v>0</v>
      </c>
      <c r="I18" s="60">
        <v>0</v>
      </c>
    </row>
    <row r="19" spans="1:13" ht="15" customHeight="1" x14ac:dyDescent="0.2">
      <c r="A19" s="58" t="s">
        <v>183</v>
      </c>
      <c r="B19" s="113">
        <v>47460</v>
      </c>
      <c r="C19" s="113">
        <v>37446</v>
      </c>
      <c r="D19" s="113">
        <v>5828</v>
      </c>
      <c r="E19" s="113">
        <v>11135</v>
      </c>
      <c r="F19" s="60">
        <v>12890</v>
      </c>
      <c r="G19" s="113">
        <v>0</v>
      </c>
      <c r="H19" s="113">
        <v>0</v>
      </c>
      <c r="I19" s="60">
        <v>0</v>
      </c>
    </row>
    <row r="20" spans="1:13" ht="15" customHeight="1" x14ac:dyDescent="0.2">
      <c r="A20" s="58" t="s">
        <v>84</v>
      </c>
      <c r="B20" s="113">
        <v>-11085</v>
      </c>
      <c r="C20" s="113">
        <v>-10708</v>
      </c>
      <c r="D20" s="113">
        <v>-10959</v>
      </c>
      <c r="E20" s="113">
        <v>-9447</v>
      </c>
      <c r="F20" s="60">
        <v>-12715</v>
      </c>
      <c r="G20" s="113">
        <f>-'Income Statement'!G7*Assumptions!B16</f>
        <v>-13687.742480000001</v>
      </c>
      <c r="H20" s="113">
        <f>-'Income Statement'!H7*Assumptions!C16</f>
        <v>-14500.549782399999</v>
      </c>
      <c r="I20" s="60">
        <f>-'Income Statement'!I7*Assumptions!D16</f>
        <v>-15332.983493312</v>
      </c>
    </row>
    <row r="21" spans="1:13" ht="15" customHeight="1" x14ac:dyDescent="0.2">
      <c r="A21" s="58" t="s">
        <v>180</v>
      </c>
      <c r="B21" s="113">
        <v>-385</v>
      </c>
      <c r="C21" s="113">
        <v>-2086</v>
      </c>
      <c r="D21" s="113">
        <v>-1337</v>
      </c>
      <c r="E21" s="113">
        <v>-1308</v>
      </c>
      <c r="F21" s="60">
        <v>-1480</v>
      </c>
      <c r="G21" s="113">
        <f>0</f>
        <v>0</v>
      </c>
      <c r="H21" s="113">
        <f t="shared" ref="H21:I21" si="2">G21</f>
        <v>0</v>
      </c>
      <c r="I21" s="60">
        <f t="shared" si="2"/>
        <v>0</v>
      </c>
    </row>
    <row r="22" spans="1:13" ht="15" customHeight="1" x14ac:dyDescent="0.2">
      <c r="A22" s="11" t="s">
        <v>85</v>
      </c>
      <c r="B22" s="114">
        <f>SUM(B17:B21)</f>
        <v>-14545</v>
      </c>
      <c r="C22" s="114">
        <f t="shared" ref="C22:H22" si="3">SUM(C17:C21)</f>
        <v>-22354</v>
      </c>
      <c r="D22" s="114">
        <f t="shared" si="3"/>
        <v>3705</v>
      </c>
      <c r="E22" s="114">
        <f t="shared" si="3"/>
        <v>2935</v>
      </c>
      <c r="F22" s="68">
        <f t="shared" si="3"/>
        <v>15195</v>
      </c>
      <c r="G22" s="114">
        <f t="shared" si="3"/>
        <v>-13687.742480000001</v>
      </c>
      <c r="H22" s="114">
        <f t="shared" si="3"/>
        <v>-14500.549782399999</v>
      </c>
      <c r="I22" s="68">
        <f>SUM(I17:I21)</f>
        <v>-15332.983493312</v>
      </c>
    </row>
    <row r="23" spans="1:13" x14ac:dyDescent="0.2">
      <c r="A23" s="48"/>
      <c r="B23" s="7"/>
      <c r="C23" s="7"/>
      <c r="D23" s="7"/>
      <c r="E23" s="7"/>
      <c r="F23" s="48"/>
      <c r="G23" s="7"/>
      <c r="H23" s="7"/>
      <c r="I23" s="48"/>
    </row>
    <row r="24" spans="1:13" ht="15" customHeight="1" x14ac:dyDescent="0.2">
      <c r="A24" s="10" t="s">
        <v>86</v>
      </c>
      <c r="B24" s="10"/>
      <c r="C24" s="10"/>
      <c r="D24" s="10"/>
      <c r="E24" s="10"/>
      <c r="F24" s="10"/>
      <c r="G24" s="10"/>
      <c r="H24" s="10"/>
      <c r="I24" s="10"/>
    </row>
    <row r="25" spans="1:13" ht="15" customHeight="1" x14ac:dyDescent="0.2">
      <c r="A25" s="58" t="s">
        <v>184</v>
      </c>
      <c r="B25" s="113">
        <v>-6556</v>
      </c>
      <c r="C25" s="113">
        <v>-6223</v>
      </c>
      <c r="D25" s="113">
        <v>-5431</v>
      </c>
      <c r="E25" s="113">
        <v>-5441</v>
      </c>
      <c r="F25" s="60">
        <v>-5960</v>
      </c>
      <c r="G25" s="113">
        <f t="shared" ref="G25:I31" si="4">F25</f>
        <v>-5960</v>
      </c>
      <c r="H25" s="113">
        <f t="shared" si="4"/>
        <v>-5960</v>
      </c>
      <c r="I25" s="60">
        <f t="shared" si="4"/>
        <v>-5960</v>
      </c>
    </row>
    <row r="26" spans="1:13" ht="15" customHeight="1" x14ac:dyDescent="0.2">
      <c r="A26" s="58" t="s">
        <v>87</v>
      </c>
      <c r="B26" s="113">
        <v>-14467</v>
      </c>
      <c r="C26" s="113">
        <v>-14841</v>
      </c>
      <c r="D26" s="113">
        <v>-15025</v>
      </c>
      <c r="E26" s="113">
        <v>-15234</v>
      </c>
      <c r="F26" s="60">
        <v>-15421</v>
      </c>
      <c r="G26" s="113">
        <f>-Assumptions!B19*Assumptions!B20</f>
        <v>-15507.800000000001</v>
      </c>
      <c r="H26" s="113">
        <f>-Assumptions!C19*Assumptions!C20</f>
        <v>-15690.400000000001</v>
      </c>
      <c r="I26" s="60">
        <f>-Assumptions!D19*Assumptions!D20</f>
        <v>-15853.979999999998</v>
      </c>
    </row>
    <row r="27" spans="1:13" ht="15" customHeight="1" x14ac:dyDescent="0.2">
      <c r="A27" s="58" t="s">
        <v>185</v>
      </c>
      <c r="B27" s="113">
        <v>-85971</v>
      </c>
      <c r="C27" s="113">
        <v>-89402</v>
      </c>
      <c r="D27" s="113">
        <v>-77550</v>
      </c>
      <c r="E27" s="113">
        <v>-94949</v>
      </c>
      <c r="F27" s="60">
        <v>-90711</v>
      </c>
      <c r="G27" s="113">
        <f t="shared" si="4"/>
        <v>-90711</v>
      </c>
      <c r="H27" s="113">
        <f t="shared" si="4"/>
        <v>-90711</v>
      </c>
      <c r="I27" s="60">
        <f t="shared" si="4"/>
        <v>-90711</v>
      </c>
    </row>
    <row r="28" spans="1:13" ht="15" customHeight="1" x14ac:dyDescent="0.2">
      <c r="A28" s="58" t="s">
        <v>88</v>
      </c>
      <c r="B28" s="113">
        <v>20393</v>
      </c>
      <c r="C28" s="113">
        <v>5465</v>
      </c>
      <c r="D28" s="113">
        <v>5228</v>
      </c>
      <c r="E28" s="113" t="s">
        <v>186</v>
      </c>
      <c r="F28" s="60">
        <v>4481</v>
      </c>
      <c r="G28" s="113">
        <v>0</v>
      </c>
      <c r="H28" s="113">
        <f t="shared" si="4"/>
        <v>0</v>
      </c>
      <c r="I28" s="60">
        <f t="shared" si="4"/>
        <v>0</v>
      </c>
    </row>
    <row r="29" spans="1:13" ht="15" customHeight="1" x14ac:dyDescent="0.2">
      <c r="A29" s="58" t="s">
        <v>89</v>
      </c>
      <c r="B29" s="113">
        <v>-8750</v>
      </c>
      <c r="C29" s="113">
        <v>-9543</v>
      </c>
      <c r="D29" s="113">
        <v>-11151</v>
      </c>
      <c r="E29" s="113">
        <v>-9958</v>
      </c>
      <c r="F29" s="60">
        <v>-10932</v>
      </c>
      <c r="G29" s="113">
        <v>0</v>
      </c>
      <c r="H29" s="113">
        <f t="shared" si="4"/>
        <v>0</v>
      </c>
      <c r="I29" s="60">
        <f t="shared" si="4"/>
        <v>0</v>
      </c>
    </row>
    <row r="30" spans="1:13" ht="15" customHeight="1" x14ac:dyDescent="0.2">
      <c r="A30" s="58" t="s">
        <v>190</v>
      </c>
      <c r="B30" s="113">
        <v>1022</v>
      </c>
      <c r="C30" s="113">
        <v>3955</v>
      </c>
      <c r="D30" s="113">
        <v>-3978</v>
      </c>
      <c r="E30" s="113">
        <v>3960</v>
      </c>
      <c r="F30" s="60">
        <v>-2032</v>
      </c>
      <c r="G30" s="113">
        <v>0</v>
      </c>
      <c r="H30" s="113">
        <f t="shared" si="4"/>
        <v>0</v>
      </c>
      <c r="I30" s="60">
        <f t="shared" si="4"/>
        <v>0</v>
      </c>
    </row>
    <row r="31" spans="1:13" ht="15" customHeight="1" x14ac:dyDescent="0.2">
      <c r="A31" s="58" t="s">
        <v>90</v>
      </c>
      <c r="B31" s="113">
        <v>976</v>
      </c>
      <c r="C31" s="113">
        <v>-160</v>
      </c>
      <c r="D31" s="113">
        <v>-581</v>
      </c>
      <c r="E31" s="113">
        <v>-361</v>
      </c>
      <c r="F31" s="60">
        <v>-111</v>
      </c>
      <c r="G31" s="113">
        <v>0</v>
      </c>
      <c r="H31" s="113">
        <f t="shared" si="4"/>
        <v>0</v>
      </c>
      <c r="I31" s="60">
        <f t="shared" si="4"/>
        <v>0</v>
      </c>
    </row>
    <row r="32" spans="1:13" ht="15" customHeight="1" x14ac:dyDescent="0.2">
      <c r="A32" s="11" t="s">
        <v>91</v>
      </c>
      <c r="B32" s="114">
        <f t="shared" ref="B32:I32" si="5">SUM(B25:B31)</f>
        <v>-93353</v>
      </c>
      <c r="C32" s="114">
        <f t="shared" si="5"/>
        <v>-110749</v>
      </c>
      <c r="D32" s="114">
        <f t="shared" si="5"/>
        <v>-108488</v>
      </c>
      <c r="E32" s="114">
        <f t="shared" si="5"/>
        <v>-121983</v>
      </c>
      <c r="F32" s="68">
        <f t="shared" si="5"/>
        <v>-120686</v>
      </c>
      <c r="G32" s="114">
        <f t="shared" si="5"/>
        <v>-112178.8</v>
      </c>
      <c r="H32" s="114">
        <f t="shared" si="5"/>
        <v>-112361.4</v>
      </c>
      <c r="I32" s="68">
        <f t="shared" si="5"/>
        <v>-112524.98</v>
      </c>
    </row>
    <row r="33" spans="1:9" x14ac:dyDescent="0.2">
      <c r="A33" s="48"/>
      <c r="B33" s="7"/>
      <c r="C33" s="7"/>
      <c r="D33" s="7"/>
      <c r="E33" s="7"/>
      <c r="F33" s="48"/>
      <c r="G33" s="7"/>
      <c r="H33" s="7"/>
      <c r="I33" s="48"/>
    </row>
    <row r="34" spans="1:9" ht="15" customHeight="1" x14ac:dyDescent="0.2">
      <c r="A34" s="115" t="s">
        <v>92</v>
      </c>
      <c r="B34" s="115"/>
      <c r="C34" s="115"/>
      <c r="D34" s="115"/>
      <c r="E34" s="115"/>
      <c r="F34" s="115"/>
      <c r="G34" s="115"/>
      <c r="H34" s="115"/>
      <c r="I34" s="115"/>
    </row>
    <row r="35" spans="1:9" ht="15" customHeight="1" x14ac:dyDescent="0.2">
      <c r="A35" s="11" t="s">
        <v>93</v>
      </c>
      <c r="B35" s="114">
        <f t="shared" ref="B35:I35" si="6">B14+B22+B32</f>
        <v>-3860</v>
      </c>
      <c r="C35" s="114">
        <f t="shared" si="6"/>
        <v>-10952</v>
      </c>
      <c r="D35" s="114">
        <f t="shared" si="6"/>
        <v>5760</v>
      </c>
      <c r="E35" s="114">
        <f t="shared" si="6"/>
        <v>-794</v>
      </c>
      <c r="F35" s="68">
        <f t="shared" si="6"/>
        <v>5991</v>
      </c>
      <c r="G35" s="114">
        <f t="shared" si="6"/>
        <v>18762.088169556169</v>
      </c>
      <c r="H35" s="114">
        <f t="shared" si="6"/>
        <v>26562.576942635875</v>
      </c>
      <c r="I35" s="68">
        <f t="shared" si="6"/>
        <v>34275.139679849366</v>
      </c>
    </row>
    <row r="36" spans="1:9" ht="15" customHeight="1" x14ac:dyDescent="0.2">
      <c r="A36" s="11" t="s">
        <v>94</v>
      </c>
      <c r="B36" s="113">
        <v>39789</v>
      </c>
      <c r="C36" s="113">
        <v>35929</v>
      </c>
      <c r="D36" s="113">
        <v>24977</v>
      </c>
      <c r="E36" s="113">
        <v>30737</v>
      </c>
      <c r="F36" s="60">
        <v>29943</v>
      </c>
      <c r="G36" s="113">
        <f>F37</f>
        <v>35934</v>
      </c>
      <c r="H36" s="113">
        <f>G37</f>
        <v>54696.088169556169</v>
      </c>
      <c r="I36" s="60">
        <f>H37</f>
        <v>81258.665112192044</v>
      </c>
    </row>
    <row r="37" spans="1:9" ht="15" customHeight="1" x14ac:dyDescent="0.2">
      <c r="A37" s="11" t="s">
        <v>95</v>
      </c>
      <c r="B37" s="114">
        <f t="shared" ref="B37:I37" si="7">B35+B36</f>
        <v>35929</v>
      </c>
      <c r="C37" s="114">
        <f t="shared" si="7"/>
        <v>24977</v>
      </c>
      <c r="D37" s="114">
        <f t="shared" si="7"/>
        <v>30737</v>
      </c>
      <c r="E37" s="114">
        <f t="shared" si="7"/>
        <v>29943</v>
      </c>
      <c r="F37" s="68">
        <f t="shared" si="7"/>
        <v>35934</v>
      </c>
      <c r="G37" s="114">
        <f t="shared" si="7"/>
        <v>54696.088169556169</v>
      </c>
      <c r="H37" s="114">
        <f t="shared" si="7"/>
        <v>81258.665112192044</v>
      </c>
      <c r="I37" s="68">
        <f t="shared" si="7"/>
        <v>115533.80479204141</v>
      </c>
    </row>
    <row r="38" spans="1:9" ht="15" customHeight="1" x14ac:dyDescent="0.2">
      <c r="A38" s="24" t="s">
        <v>191</v>
      </c>
      <c r="B38" s="116">
        <v>989</v>
      </c>
      <c r="C38" s="116">
        <v>1331</v>
      </c>
      <c r="D38" s="116">
        <v>772</v>
      </c>
      <c r="E38" s="116">
        <v>0</v>
      </c>
      <c r="F38" s="117">
        <v>0</v>
      </c>
      <c r="G38" s="116"/>
      <c r="H38" s="116"/>
      <c r="I38" s="117"/>
    </row>
    <row r="39" spans="1:9" s="109" customFormat="1" x14ac:dyDescent="0.2"/>
  </sheetData>
  <mergeCells count="5">
    <mergeCell ref="A1:I1"/>
    <mergeCell ref="A3:I3"/>
    <mergeCell ref="A16:I16"/>
    <mergeCell ref="A24:I24"/>
    <mergeCell ref="A34:I3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"/>
  <sheetViews>
    <sheetView zoomScale="86" zoomScaleNormal="100" workbookViewId="0">
      <selection activeCell="L26" sqref="L26"/>
    </sheetView>
  </sheetViews>
  <sheetFormatPr baseColWidth="10" defaultColWidth="8.6640625" defaultRowHeight="15" x14ac:dyDescent="0.2"/>
  <cols>
    <col min="1" max="1" width="39.6640625" bestFit="1" customWidth="1"/>
    <col min="2" max="6" width="15" customWidth="1"/>
    <col min="7" max="7" width="32.33203125" bestFit="1" customWidth="1"/>
  </cols>
  <sheetData>
    <row r="1" spans="1:7" ht="25.5" customHeight="1" x14ac:dyDescent="0.2">
      <c r="A1" s="110" t="s">
        <v>96</v>
      </c>
      <c r="B1" s="111"/>
      <c r="C1" s="111"/>
      <c r="D1" s="111"/>
      <c r="E1" s="111"/>
      <c r="F1" s="111"/>
      <c r="G1" s="112"/>
    </row>
    <row r="2" spans="1:7" ht="15" customHeight="1" x14ac:dyDescent="0.2">
      <c r="A2" s="21" t="s">
        <v>97</v>
      </c>
      <c r="B2" s="21"/>
      <c r="C2" s="21"/>
      <c r="D2" s="21"/>
      <c r="E2" s="21"/>
      <c r="F2" s="21"/>
      <c r="G2" s="22"/>
    </row>
    <row r="3" spans="1:7" ht="15" customHeight="1" x14ac:dyDescent="0.2">
      <c r="A3" s="11" t="s">
        <v>98</v>
      </c>
      <c r="B3" s="126">
        <v>4.6199999999999998E-2</v>
      </c>
      <c r="C3" s="7"/>
      <c r="D3" s="7"/>
      <c r="E3" s="7"/>
      <c r="F3" s="48"/>
      <c r="G3" s="20" t="s">
        <v>99</v>
      </c>
    </row>
    <row r="4" spans="1:7" ht="15" customHeight="1" x14ac:dyDescent="0.2">
      <c r="A4" s="11" t="s">
        <v>100</v>
      </c>
      <c r="B4" s="126">
        <v>4.1799999999999997E-2</v>
      </c>
      <c r="C4" s="7"/>
      <c r="D4" s="7"/>
      <c r="E4" s="7"/>
      <c r="F4" s="48"/>
      <c r="G4" s="20" t="s">
        <v>101</v>
      </c>
    </row>
    <row r="5" spans="1:7" ht="15" customHeight="1" x14ac:dyDescent="0.2">
      <c r="A5" s="11" t="s">
        <v>102</v>
      </c>
      <c r="B5" s="12">
        <v>1.2</v>
      </c>
      <c r="C5" s="7"/>
      <c r="D5" s="7"/>
      <c r="E5" s="7"/>
      <c r="F5" s="48"/>
      <c r="G5" s="20" t="s">
        <v>103</v>
      </c>
    </row>
    <row r="6" spans="1:7" ht="15" customHeight="1" x14ac:dyDescent="0.2">
      <c r="A6" s="11" t="s">
        <v>104</v>
      </c>
      <c r="B6" s="12">
        <f>B3+B5*B4</f>
        <v>9.6360000000000001E-2</v>
      </c>
      <c r="C6" s="7"/>
      <c r="D6" s="7"/>
      <c r="E6" s="7"/>
      <c r="F6" s="48"/>
      <c r="G6" s="20" t="s">
        <v>105</v>
      </c>
    </row>
    <row r="7" spans="1:7" ht="15" customHeight="1" x14ac:dyDescent="0.2">
      <c r="A7" s="11" t="s">
        <v>106</v>
      </c>
      <c r="B7" s="126">
        <v>0.04</v>
      </c>
      <c r="C7" s="7"/>
      <c r="D7" s="7"/>
      <c r="E7" s="7"/>
      <c r="F7" s="48"/>
      <c r="G7" s="20" t="s">
        <v>107</v>
      </c>
    </row>
    <row r="8" spans="1:7" ht="15" customHeight="1" x14ac:dyDescent="0.2">
      <c r="A8" s="11" t="s">
        <v>108</v>
      </c>
      <c r="B8" s="126">
        <f>Assumptions!B11</f>
        <v>0.16</v>
      </c>
      <c r="C8" s="7"/>
      <c r="D8" s="7"/>
      <c r="E8" s="7"/>
      <c r="F8" s="48"/>
      <c r="G8" s="120" t="s">
        <v>109</v>
      </c>
    </row>
    <row r="9" spans="1:7" ht="15" customHeight="1" x14ac:dyDescent="0.2">
      <c r="A9" s="11" t="s">
        <v>110</v>
      </c>
      <c r="B9" s="126">
        <f>B7*(1-B8)</f>
        <v>3.3599999999999998E-2</v>
      </c>
      <c r="C9" s="7"/>
      <c r="D9" s="7"/>
      <c r="E9" s="7"/>
      <c r="F9" s="48"/>
      <c r="G9" s="20" t="s">
        <v>105</v>
      </c>
    </row>
    <row r="10" spans="1:7" ht="15" customHeight="1" x14ac:dyDescent="0.2">
      <c r="A10" s="11" t="s">
        <v>111</v>
      </c>
      <c r="B10" s="126">
        <v>0.97909999999999997</v>
      </c>
      <c r="C10" s="7"/>
      <c r="D10" s="7"/>
      <c r="E10" s="7"/>
      <c r="F10" s="48"/>
      <c r="G10" s="20" t="s">
        <v>112</v>
      </c>
    </row>
    <row r="11" spans="1:7" ht="15" customHeight="1" x14ac:dyDescent="0.2">
      <c r="A11" s="11" t="s">
        <v>113</v>
      </c>
      <c r="B11" s="126">
        <f>1-B10</f>
        <v>2.090000000000003E-2</v>
      </c>
      <c r="C11" s="7"/>
      <c r="D11" s="7"/>
      <c r="E11" s="7"/>
      <c r="F11" s="48"/>
      <c r="G11" s="20" t="s">
        <v>114</v>
      </c>
    </row>
    <row r="12" spans="1:7" ht="15" customHeight="1" x14ac:dyDescent="0.2">
      <c r="A12" s="11" t="s">
        <v>115</v>
      </c>
      <c r="B12" s="126">
        <f>B6*B10+B9*B11</f>
        <v>9.5048316000000008E-2</v>
      </c>
      <c r="C12" s="7"/>
      <c r="D12" s="7"/>
      <c r="E12" s="7"/>
      <c r="F12" s="48"/>
      <c r="G12" s="120" t="s">
        <v>116</v>
      </c>
    </row>
    <row r="13" spans="1:7" x14ac:dyDescent="0.2">
      <c r="A13" s="48"/>
      <c r="B13" s="127"/>
      <c r="C13" s="7"/>
      <c r="D13" s="7"/>
      <c r="E13" s="7"/>
      <c r="F13" s="48"/>
      <c r="G13" s="48"/>
    </row>
    <row r="14" spans="1:7" ht="15" customHeight="1" x14ac:dyDescent="0.2">
      <c r="A14" s="125" t="s">
        <v>117</v>
      </c>
      <c r="B14" s="125"/>
      <c r="C14" s="125"/>
      <c r="D14" s="125"/>
      <c r="E14" s="125"/>
      <c r="F14" s="125"/>
      <c r="G14" s="125"/>
    </row>
    <row r="15" spans="1:7" ht="15" customHeight="1" x14ac:dyDescent="0.2">
      <c r="A15" s="17" t="s">
        <v>22</v>
      </c>
      <c r="B15" s="118" t="s">
        <v>2</v>
      </c>
      <c r="C15" s="118" t="s">
        <v>3</v>
      </c>
      <c r="D15" s="121" t="s">
        <v>174</v>
      </c>
      <c r="E15" s="7"/>
      <c r="F15" s="48"/>
      <c r="G15" s="48"/>
    </row>
    <row r="16" spans="1:7" ht="15" customHeight="1" x14ac:dyDescent="0.2">
      <c r="A16" s="11" t="s">
        <v>118</v>
      </c>
      <c r="B16" s="113">
        <f>'Income Statement'!G17</f>
        <v>141734.36567999999</v>
      </c>
      <c r="C16" s="113">
        <f>'Income Statement'!H17</f>
        <v>150618.61386879999</v>
      </c>
      <c r="D16" s="60">
        <f>'Income Statement'!I17</f>
        <v>160254.40812364797</v>
      </c>
      <c r="E16" s="7"/>
      <c r="F16" s="48"/>
      <c r="G16" s="48"/>
    </row>
    <row r="17" spans="1:10" ht="15" customHeight="1" x14ac:dyDescent="0.2">
      <c r="A17" s="58" t="s">
        <v>119</v>
      </c>
      <c r="B17" s="113">
        <f>-B16*$B$8</f>
        <v>-22677.498508799999</v>
      </c>
      <c r="C17" s="113">
        <f t="shared" ref="C17:D17" si="0">-C16*$B$8</f>
        <v>-24098.978219008</v>
      </c>
      <c r="D17" s="60">
        <f t="shared" si="0"/>
        <v>-25640.705299783676</v>
      </c>
      <c r="E17" s="7"/>
      <c r="F17" s="48"/>
      <c r="G17" s="48"/>
    </row>
    <row r="18" spans="1:10" ht="15" customHeight="1" x14ac:dyDescent="0.2">
      <c r="A18" s="58" t="s">
        <v>120</v>
      </c>
      <c r="B18" s="113">
        <f>B16+B17</f>
        <v>119056.86717119999</v>
      </c>
      <c r="C18" s="113">
        <f t="shared" ref="C18:D18" si="1">C16+C17</f>
        <v>126519.63564979199</v>
      </c>
      <c r="D18" s="60">
        <f t="shared" si="1"/>
        <v>134613.7028238643</v>
      </c>
      <c r="E18" s="7"/>
      <c r="F18" s="48"/>
      <c r="G18" s="48"/>
    </row>
    <row r="19" spans="1:10" ht="15" customHeight="1" x14ac:dyDescent="0.2">
      <c r="A19" s="58" t="s">
        <v>121</v>
      </c>
      <c r="B19" s="113">
        <f>'Cash Flow Statement'!G5</f>
        <v>12363.122240000001</v>
      </c>
      <c r="C19" s="113">
        <f>'Cash Flow Statement'!H5</f>
        <v>13097.270771200001</v>
      </c>
      <c r="D19" s="60">
        <f>'Cash Flow Statement'!I5</f>
        <v>13849.146381056</v>
      </c>
      <c r="E19" s="7"/>
      <c r="F19" s="48"/>
      <c r="G19" s="48"/>
    </row>
    <row r="20" spans="1:10" ht="15" customHeight="1" x14ac:dyDescent="0.2">
      <c r="A20" s="58" t="s">
        <v>122</v>
      </c>
      <c r="B20" s="113">
        <f>'Cash Flow Statement'!G20</f>
        <v>-13687.742480000001</v>
      </c>
      <c r="C20" s="113">
        <f>'Cash Flow Statement'!H20</f>
        <v>-14500.549782399999</v>
      </c>
      <c r="D20" s="60">
        <f>'Cash Flow Statement'!I20</f>
        <v>-15332.983493312</v>
      </c>
      <c r="E20" s="7"/>
      <c r="F20" s="48"/>
      <c r="G20" s="48"/>
    </row>
    <row r="21" spans="1:10" ht="15" customHeight="1" x14ac:dyDescent="0.2">
      <c r="A21" s="58" t="s">
        <v>123</v>
      </c>
      <c r="B21" s="113">
        <f>SUM('Cash Flow Statement'!G8:G13)</f>
        <v>615.28123835616952</v>
      </c>
      <c r="C21" s="113">
        <f>SUM('Cash Flow Statement'!H8:H13)</f>
        <v>1214.2603040438416</v>
      </c>
      <c r="D21" s="60">
        <f>SUM('Cash Flow Statement'!I8:I13)</f>
        <v>1076.8939682410864</v>
      </c>
      <c r="E21" s="7"/>
      <c r="F21" s="48"/>
      <c r="G21" s="48"/>
    </row>
    <row r="22" spans="1:10" ht="15" customHeight="1" x14ac:dyDescent="0.2">
      <c r="A22" s="11" t="s">
        <v>124</v>
      </c>
      <c r="B22" s="122">
        <f>SUM(B18:B21)</f>
        <v>118347.52816955616</v>
      </c>
      <c r="C22" s="123">
        <f t="shared" ref="C22:D22" si="2">SUM(C18:C21)</f>
        <v>126330.61694263582</v>
      </c>
      <c r="D22" s="124">
        <f t="shared" si="2"/>
        <v>134206.75967984938</v>
      </c>
      <c r="E22" s="7"/>
      <c r="F22" s="48"/>
      <c r="G22" s="48"/>
    </row>
    <row r="23" spans="1:10" x14ac:dyDescent="0.2">
      <c r="A23" s="48"/>
      <c r="B23" s="7"/>
      <c r="C23" s="7"/>
      <c r="D23" s="7"/>
      <c r="E23" s="7"/>
      <c r="F23" s="48"/>
      <c r="G23" s="48"/>
    </row>
    <row r="24" spans="1:10" ht="15" customHeight="1" x14ac:dyDescent="0.2">
      <c r="A24" s="10" t="s">
        <v>125</v>
      </c>
      <c r="B24" s="10"/>
      <c r="C24" s="10"/>
      <c r="D24" s="10"/>
      <c r="E24" s="10"/>
      <c r="F24" s="10"/>
      <c r="G24" s="10"/>
    </row>
    <row r="25" spans="1:10" ht="15" customHeight="1" x14ac:dyDescent="0.2">
      <c r="A25" s="11" t="s">
        <v>126</v>
      </c>
      <c r="B25" s="128">
        <v>2.5000000000000001E-2</v>
      </c>
      <c r="C25" s="7"/>
      <c r="D25" s="7"/>
      <c r="E25" s="7"/>
      <c r="F25" s="48"/>
      <c r="G25" s="20" t="s">
        <v>127</v>
      </c>
    </row>
    <row r="26" spans="1:10" ht="15" customHeight="1" x14ac:dyDescent="0.2">
      <c r="A26" s="58" t="s">
        <v>128</v>
      </c>
      <c r="B26" s="129">
        <f>D22*(1+B25)/($B$12-B25)</f>
        <v>1963814.928425197</v>
      </c>
      <c r="C26" s="7"/>
      <c r="D26" s="7"/>
      <c r="E26" s="7"/>
      <c r="F26" s="48"/>
      <c r="G26" s="20" t="s">
        <v>129</v>
      </c>
    </row>
    <row r="27" spans="1:10" ht="15" customHeight="1" x14ac:dyDescent="0.2">
      <c r="A27" s="11" t="s">
        <v>130</v>
      </c>
      <c r="B27" s="129">
        <f>B26/(1+$B$12)^3</f>
        <v>1495549.225123476</v>
      </c>
      <c r="C27" s="7"/>
      <c r="D27" s="7"/>
      <c r="E27" s="7"/>
      <c r="F27" s="48"/>
      <c r="G27" s="20" t="s">
        <v>131</v>
      </c>
    </row>
    <row r="28" spans="1:10" ht="15" customHeight="1" x14ac:dyDescent="0.2">
      <c r="A28" s="11" t="s">
        <v>132</v>
      </c>
      <c r="B28" s="129">
        <f>B22/(1+$B$12)+C22/(1+$B$12)^2+D22/(1+$B$12)^3</f>
        <v>315632.55394050165</v>
      </c>
      <c r="C28" s="7"/>
      <c r="D28" s="7"/>
      <c r="E28" s="7"/>
      <c r="F28" s="48"/>
      <c r="G28" s="20" t="s">
        <v>133</v>
      </c>
    </row>
    <row r="29" spans="1:10" ht="15" customHeight="1" x14ac:dyDescent="0.2">
      <c r="A29" s="11" t="s">
        <v>134</v>
      </c>
      <c r="B29" s="129">
        <f>B27+B28</f>
        <v>1811181.7790639778</v>
      </c>
      <c r="C29" s="7"/>
      <c r="D29" s="7"/>
      <c r="E29" s="7"/>
      <c r="F29" s="48"/>
      <c r="G29" s="120" t="s">
        <v>135</v>
      </c>
    </row>
    <row r="30" spans="1:10" ht="15" customHeight="1" x14ac:dyDescent="0.2">
      <c r="A30" s="58" t="s">
        <v>207</v>
      </c>
      <c r="B30" s="129">
        <f>'Balance Sheet'!F5+'Balance Sheet'!F6+'Balance Sheet'!F14</f>
        <v>132420</v>
      </c>
      <c r="C30" s="7"/>
      <c r="D30" s="7"/>
      <c r="E30" s="7"/>
      <c r="F30" s="48"/>
      <c r="G30" s="20" t="s">
        <v>136</v>
      </c>
    </row>
    <row r="31" spans="1:10" ht="15" customHeight="1" x14ac:dyDescent="0.2">
      <c r="A31" s="58" t="s">
        <v>137</v>
      </c>
      <c r="B31" s="129">
        <f>'Balance Sheet'!F25+'Balance Sheet'!F26+'Balance Sheet'!F30</f>
        <v>98657</v>
      </c>
      <c r="C31" s="7"/>
      <c r="D31" s="7"/>
      <c r="E31" s="7"/>
      <c r="F31" s="48"/>
      <c r="G31" s="20" t="s">
        <v>136</v>
      </c>
    </row>
    <row r="32" spans="1:10" ht="15" customHeight="1" x14ac:dyDescent="0.2">
      <c r="A32" s="11" t="s">
        <v>138</v>
      </c>
      <c r="B32" s="129">
        <f>B29+B30-B31</f>
        <v>1844944.7790639778</v>
      </c>
      <c r="C32" s="7"/>
      <c r="D32" s="7"/>
      <c r="E32" s="7"/>
      <c r="F32" s="48"/>
      <c r="G32" s="120" t="s">
        <v>139</v>
      </c>
      <c r="J32" s="6"/>
    </row>
    <row r="33" spans="1:7" ht="15" customHeight="1" x14ac:dyDescent="0.2">
      <c r="A33" s="11" t="s">
        <v>19</v>
      </c>
      <c r="B33" s="129">
        <f>Assumptions!B19</f>
        <v>14630</v>
      </c>
      <c r="C33" s="7"/>
      <c r="D33" s="7"/>
      <c r="E33" s="7"/>
      <c r="F33" s="48"/>
      <c r="G33" s="20" t="s">
        <v>140</v>
      </c>
    </row>
    <row r="34" spans="1:7" ht="15" customHeight="1" x14ac:dyDescent="0.2">
      <c r="A34" s="11" t="s">
        <v>141</v>
      </c>
      <c r="B34" s="12">
        <f>B32/B33</f>
        <v>126.1069568738194</v>
      </c>
      <c r="C34" s="7"/>
      <c r="D34" s="7"/>
      <c r="E34" s="7"/>
      <c r="F34" s="48"/>
      <c r="G34" s="120" t="s">
        <v>142</v>
      </c>
    </row>
    <row r="35" spans="1:7" ht="15" customHeight="1" x14ac:dyDescent="0.2">
      <c r="A35" s="11" t="s">
        <v>143</v>
      </c>
      <c r="B35" s="12">
        <v>313.36</v>
      </c>
      <c r="C35" s="7"/>
      <c r="D35" s="7"/>
      <c r="E35" s="7"/>
      <c r="F35" s="48"/>
      <c r="G35" s="20" t="s">
        <v>144</v>
      </c>
    </row>
    <row r="36" spans="1:7" ht="15" customHeight="1" x14ac:dyDescent="0.2">
      <c r="A36" s="11" t="s">
        <v>145</v>
      </c>
      <c r="B36" s="130">
        <f>(B34-B35)/B35</f>
        <v>-0.5975652384675153</v>
      </c>
      <c r="C36" s="7"/>
      <c r="D36" s="7"/>
      <c r="E36" s="7"/>
      <c r="F36" s="48"/>
      <c r="G36" s="120" t="s">
        <v>146</v>
      </c>
    </row>
    <row r="37" spans="1:7" x14ac:dyDescent="0.2">
      <c r="A37" s="48"/>
      <c r="B37" s="127"/>
      <c r="C37" s="7"/>
      <c r="D37" s="7"/>
      <c r="E37" s="7"/>
      <c r="F37" s="48"/>
      <c r="G37" s="48"/>
    </row>
    <row r="38" spans="1:7" ht="15" customHeight="1" x14ac:dyDescent="0.2">
      <c r="A38" s="10" t="s">
        <v>147</v>
      </c>
      <c r="B38" s="10"/>
      <c r="C38" s="10"/>
      <c r="D38" s="10"/>
      <c r="E38" s="10"/>
      <c r="F38" s="10"/>
      <c r="G38" s="10"/>
    </row>
    <row r="39" spans="1:7" ht="15" customHeight="1" x14ac:dyDescent="0.2">
      <c r="A39" s="137" t="s">
        <v>148</v>
      </c>
      <c r="B39" s="137"/>
      <c r="C39" s="137"/>
      <c r="D39" s="137"/>
      <c r="E39" s="137"/>
      <c r="F39" s="137"/>
      <c r="G39" s="138"/>
    </row>
    <row r="40" spans="1:7" ht="15" customHeight="1" x14ac:dyDescent="0.2">
      <c r="A40" s="17" t="s">
        <v>149</v>
      </c>
      <c r="B40" s="131" t="s">
        <v>150</v>
      </c>
      <c r="C40" s="132" t="s">
        <v>151</v>
      </c>
      <c r="D40" s="132" t="s">
        <v>152</v>
      </c>
      <c r="E40" s="132" t="s">
        <v>153</v>
      </c>
      <c r="F40" s="133" t="s">
        <v>154</v>
      </c>
      <c r="G40" s="48"/>
    </row>
    <row r="41" spans="1:7" ht="15" customHeight="1" x14ac:dyDescent="0.2">
      <c r="A41" s="17" t="s">
        <v>155</v>
      </c>
      <c r="B41" s="119">
        <f>(($B$22/(1+B$40)+$C$22/(1+B$40)^2+$D$22/(1+B$40)^3)+($D$22*(1+$A41)/(B$40-$A41))/(1+B$40)^3+$B$30-$B$31)/$B$33</f>
        <v>148.27955823922215</v>
      </c>
      <c r="C41" s="119">
        <f t="shared" ref="C41:F45" si="3">(($B$22/(1+C$40)+$C$22/(1+C$40)^2+$D$22/(1+C$40)^3)+($D$22*(1+$A41)/(C$40-$A41))/(1+C$40)^3+$B$30-$B$31)/$B$33</f>
        <v>127.29806782061206</v>
      </c>
      <c r="D41" s="119">
        <f t="shared" si="3"/>
        <v>111.56463419596687</v>
      </c>
      <c r="E41" s="119">
        <f t="shared" si="3"/>
        <v>99.329825336735169</v>
      </c>
      <c r="F41" s="135">
        <f t="shared" si="3"/>
        <v>89.543985076347099</v>
      </c>
      <c r="G41" s="48"/>
    </row>
    <row r="42" spans="1:7" ht="15" customHeight="1" x14ac:dyDescent="0.2">
      <c r="A42" s="17" t="s">
        <v>156</v>
      </c>
      <c r="B42" s="119">
        <f t="shared" ref="B42:B45" si="4">(($B$22/(1+B$40)+$C$22/(1+B$40)^2+$D$22/(1+B$40)^3)+($D$22*(1+$A42)/(B$40-$A42))/(1+B$40)^3+$B$30-$B$31)/$B$33</f>
        <v>160.19578113328029</v>
      </c>
      <c r="C42" s="119">
        <f t="shared" si="3"/>
        <v>135.78275190221933</v>
      </c>
      <c r="D42" s="119">
        <f t="shared" si="3"/>
        <v>117.88239891579842</v>
      </c>
      <c r="E42" s="119">
        <f t="shared" si="3"/>
        <v>104.19605583495749</v>
      </c>
      <c r="F42" s="135">
        <f t="shared" si="3"/>
        <v>93.392918671437798</v>
      </c>
      <c r="G42" s="48"/>
    </row>
    <row r="43" spans="1:7" ht="15" customHeight="1" x14ac:dyDescent="0.2">
      <c r="A43" s="17" t="s">
        <v>157</v>
      </c>
      <c r="B43" s="119">
        <f t="shared" si="4"/>
        <v>174.49524860615011</v>
      </c>
      <c r="C43" s="119">
        <f t="shared" si="3"/>
        <v>145.68154999742788</v>
      </c>
      <c r="D43" s="119">
        <f t="shared" si="3"/>
        <v>125.10270145274879</v>
      </c>
      <c r="E43" s="119">
        <f t="shared" si="3"/>
        <v>109.67056514545764</v>
      </c>
      <c r="F43" s="135">
        <f t="shared" si="3"/>
        <v>97.66951155487196</v>
      </c>
      <c r="G43" s="48"/>
    </row>
    <row r="44" spans="1:7" ht="15" customHeight="1" x14ac:dyDescent="0.2">
      <c r="A44" s="17" t="s">
        <v>158</v>
      </c>
      <c r="B44" s="119">
        <f t="shared" si="4"/>
        <v>191.97237551743544</v>
      </c>
      <c r="C44" s="119">
        <f t="shared" si="3"/>
        <v>157.38012956449248</v>
      </c>
      <c r="D44" s="119">
        <f t="shared" si="3"/>
        <v>133.43381976461461</v>
      </c>
      <c r="E44" s="119">
        <f t="shared" si="3"/>
        <v>115.87500903069116</v>
      </c>
      <c r="F44" s="135">
        <f t="shared" si="3"/>
        <v>102.44923301282776</v>
      </c>
      <c r="G44" s="48"/>
    </row>
    <row r="45" spans="1:7" ht="15" customHeight="1" x14ac:dyDescent="0.2">
      <c r="A45" s="133" t="s">
        <v>159</v>
      </c>
      <c r="B45" s="134">
        <f t="shared" si="4"/>
        <v>213.81878415654211</v>
      </c>
      <c r="C45" s="134">
        <f t="shared" si="3"/>
        <v>171.41842504497001</v>
      </c>
      <c r="D45" s="134">
        <f t="shared" si="3"/>
        <v>143.15345779512472</v>
      </c>
      <c r="E45" s="134">
        <f t="shared" si="3"/>
        <v>122.9658020423866</v>
      </c>
      <c r="F45" s="136">
        <f t="shared" si="3"/>
        <v>107.82641965302808</v>
      </c>
      <c r="G45" s="151"/>
    </row>
    <row r="46" spans="1:7" x14ac:dyDescent="0.2">
      <c r="G46" s="16"/>
    </row>
  </sheetData>
  <mergeCells count="6">
    <mergeCell ref="A38:G38"/>
    <mergeCell ref="A39:G39"/>
    <mergeCell ref="A1:G1"/>
    <mergeCell ref="A2:G2"/>
    <mergeCell ref="A14:G14"/>
    <mergeCell ref="A24:G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zoomScaleNormal="100" workbookViewId="0">
      <selection activeCell="C39" sqref="C39"/>
    </sheetView>
  </sheetViews>
  <sheetFormatPr baseColWidth="10" defaultColWidth="8.6640625" defaultRowHeight="15" x14ac:dyDescent="0.2"/>
  <cols>
    <col min="1" max="7" width="25" customWidth="1"/>
    <col min="8" max="9" width="14.83203125" bestFit="1" customWidth="1"/>
  </cols>
  <sheetData>
    <row r="1" spans="1:9" ht="27.75" customHeight="1" x14ac:dyDescent="0.2">
      <c r="A1" s="149" t="s">
        <v>160</v>
      </c>
      <c r="B1" s="149"/>
      <c r="C1" s="149"/>
      <c r="D1" s="149"/>
      <c r="E1" s="149"/>
      <c r="F1" s="149"/>
      <c r="G1" s="149"/>
      <c r="H1" s="149"/>
      <c r="I1" s="150"/>
    </row>
    <row r="2" spans="1:9" x14ac:dyDescent="0.2">
      <c r="A2" s="48"/>
      <c r="B2" s="147" t="s">
        <v>170</v>
      </c>
      <c r="C2" s="147"/>
      <c r="D2" s="147"/>
      <c r="E2" s="147"/>
      <c r="F2" s="148"/>
      <c r="G2" s="147" t="s">
        <v>171</v>
      </c>
      <c r="H2" s="147"/>
      <c r="I2" s="148"/>
    </row>
    <row r="3" spans="1:9" x14ac:dyDescent="0.2">
      <c r="A3" s="10" t="s">
        <v>161</v>
      </c>
      <c r="B3" s="10"/>
      <c r="C3" s="10"/>
      <c r="D3" s="10"/>
      <c r="E3" s="10"/>
      <c r="F3" s="10"/>
      <c r="G3" s="10"/>
      <c r="H3" s="10"/>
      <c r="I3" s="10"/>
    </row>
    <row r="4" spans="1:9" ht="15" customHeight="1" x14ac:dyDescent="0.2">
      <c r="A4" s="17" t="s">
        <v>162</v>
      </c>
      <c r="B4" s="8" t="s">
        <v>23</v>
      </c>
      <c r="C4" s="8" t="s">
        <v>24</v>
      </c>
      <c r="D4" s="8" t="s">
        <v>25</v>
      </c>
      <c r="E4" s="8" t="s">
        <v>26</v>
      </c>
      <c r="F4" s="17" t="s">
        <v>173</v>
      </c>
      <c r="G4" s="9" t="s">
        <v>2</v>
      </c>
      <c r="H4" s="9" t="s">
        <v>3</v>
      </c>
      <c r="I4" s="15" t="s">
        <v>174</v>
      </c>
    </row>
    <row r="5" spans="1:9" ht="15" customHeight="1" x14ac:dyDescent="0.2">
      <c r="A5" s="11" t="s">
        <v>163</v>
      </c>
      <c r="B5" s="139">
        <f>'Income Statement'!B7</f>
        <v>365817</v>
      </c>
      <c r="C5" s="139">
        <f>'Income Statement'!C7</f>
        <v>394328</v>
      </c>
      <c r="D5" s="139">
        <f>'Income Statement'!D7</f>
        <v>383285</v>
      </c>
      <c r="E5" s="139">
        <f>'Income Statement'!E7</f>
        <v>391035</v>
      </c>
      <c r="F5" s="143">
        <f>'Income Statement'!F7</f>
        <v>416161</v>
      </c>
      <c r="G5" s="139">
        <f>'Income Statement'!G7</f>
        <v>441540.08</v>
      </c>
      <c r="H5" s="139">
        <f>'Income Statement'!H7</f>
        <v>467759.6704</v>
      </c>
      <c r="I5" s="143">
        <f>'Income Statement'!I7</f>
        <v>494612.37075200002</v>
      </c>
    </row>
    <row r="6" spans="1:9" ht="15" customHeight="1" x14ac:dyDescent="0.2">
      <c r="A6" s="11" t="s">
        <v>164</v>
      </c>
      <c r="B6" s="139">
        <f>'Income Statement'!B23</f>
        <v>94680</v>
      </c>
      <c r="C6" s="139">
        <f>'Income Statement'!C23</f>
        <v>99803</v>
      </c>
      <c r="D6" s="139">
        <f>'Income Statement'!D23</f>
        <v>96995</v>
      </c>
      <c r="E6" s="139">
        <f>'Income Statement'!E23</f>
        <v>93736</v>
      </c>
      <c r="F6" s="143">
        <f>'Income Statement'!F23</f>
        <v>112010</v>
      </c>
      <c r="G6" s="139">
        <f>'Income Statement'!G23</f>
        <v>118787.22717119999</v>
      </c>
      <c r="H6" s="139">
        <f>'Income Statement'!H23</f>
        <v>126249.99564979199</v>
      </c>
      <c r="I6" s="143">
        <f>'Income Statement'!I23</f>
        <v>134344.06282386428</v>
      </c>
    </row>
    <row r="7" spans="1:9" ht="15" customHeight="1" x14ac:dyDescent="0.2">
      <c r="A7" s="11" t="s">
        <v>8</v>
      </c>
      <c r="B7" s="140">
        <f>'Income Statement'!B12</f>
        <v>0.41779359625167778</v>
      </c>
      <c r="C7" s="140">
        <f>'Income Statement'!C12</f>
        <v>0.43309630561360085</v>
      </c>
      <c r="D7" s="140">
        <f>'Income Statement'!D12</f>
        <v>0.44131129577207562</v>
      </c>
      <c r="E7" s="140">
        <f>'Income Statement'!E12</f>
        <v>0.46206349815233932</v>
      </c>
      <c r="F7" s="144">
        <f>'Income Statement'!F12</f>
        <v>0.46905164107160452</v>
      </c>
      <c r="G7" s="140">
        <f>'Income Statement'!G12</f>
        <v>0.47</v>
      </c>
      <c r="H7" s="140">
        <f>'Income Statement'!H12</f>
        <v>0.47199999999999998</v>
      </c>
      <c r="I7" s="144">
        <f>'Income Statement'!I12</f>
        <v>0.47499999999999998</v>
      </c>
    </row>
    <row r="8" spans="1:9" ht="15" customHeight="1" x14ac:dyDescent="0.2">
      <c r="A8" s="11" t="s">
        <v>165</v>
      </c>
      <c r="B8" s="140">
        <f>'Income Statement'!B18</f>
        <v>0.29782377527561593</v>
      </c>
      <c r="C8" s="140">
        <f>'Income Statement'!C18</f>
        <v>0.30288744395528594</v>
      </c>
      <c r="D8" s="140">
        <f>'Income Statement'!D18</f>
        <v>0.29821412265024722</v>
      </c>
      <c r="E8" s="140">
        <f>'Income Statement'!E18</f>
        <v>0.31510222870075566</v>
      </c>
      <c r="F8" s="144">
        <f>'Income Statement'!F18</f>
        <v>0.31970799762591884</v>
      </c>
      <c r="G8" s="140">
        <f>'Income Statement'!G18</f>
        <v>0.32099999999999995</v>
      </c>
      <c r="H8" s="140">
        <f>'Income Statement'!H18</f>
        <v>0.32200000000000001</v>
      </c>
      <c r="I8" s="144">
        <f>'Income Statement'!I18</f>
        <v>0.3239999999999999</v>
      </c>
    </row>
    <row r="9" spans="1:9" ht="15" customHeight="1" x14ac:dyDescent="0.2">
      <c r="A9" s="11" t="s">
        <v>166</v>
      </c>
      <c r="B9" s="140">
        <f>'Income Statement'!B24</f>
        <v>0.25881793355694238</v>
      </c>
      <c r="C9" s="140">
        <f>'Income Statement'!C24</f>
        <v>0.25309640705199732</v>
      </c>
      <c r="D9" s="140">
        <f>'Income Statement'!D24</f>
        <v>0.25306234264320282</v>
      </c>
      <c r="E9" s="140">
        <f>'Income Statement'!E24</f>
        <v>0.23971255769943867</v>
      </c>
      <c r="F9" s="144">
        <f>'Income Statement'!F24</f>
        <v>0.26915064121818238</v>
      </c>
      <c r="G9" s="140">
        <f>'Income Statement'!G24</f>
        <v>0.26902931931162394</v>
      </c>
      <c r="H9" s="140">
        <f>'Income Statement'!H24</f>
        <v>0.26990355013255113</v>
      </c>
      <c r="I9" s="144">
        <f>'Income Statement'!I24</f>
        <v>0.27161484582282064</v>
      </c>
    </row>
    <row r="10" spans="1:9" ht="15" customHeight="1" x14ac:dyDescent="0.2">
      <c r="A10" s="11" t="s">
        <v>167</v>
      </c>
      <c r="B10" s="141">
        <f>'Income Statement'!B26</f>
        <v>5.61</v>
      </c>
      <c r="C10" s="141">
        <f>'Income Statement'!C26</f>
        <v>6.11</v>
      </c>
      <c r="D10" s="141">
        <f>'Income Statement'!D26</f>
        <v>6.13</v>
      </c>
      <c r="E10" s="141">
        <f>'Income Statement'!E26</f>
        <v>6.08</v>
      </c>
      <c r="F10" s="145">
        <f>'Income Statement'!F26</f>
        <v>7.46</v>
      </c>
      <c r="G10" s="141">
        <f>'Income Statement'!G26</f>
        <v>8.119427694545454</v>
      </c>
      <c r="H10" s="141">
        <f>'Income Statement'!H26</f>
        <v>8.8509531442647216</v>
      </c>
      <c r="I10" s="145">
        <f>'Income Statement'!I26</f>
        <v>9.6601756542650659</v>
      </c>
    </row>
    <row r="11" spans="1:9" ht="15" customHeight="1" x14ac:dyDescent="0.2">
      <c r="A11" s="11" t="s">
        <v>168</v>
      </c>
      <c r="B11" s="139">
        <f>'Cash Flow Statement'!B14+'Cash Flow Statement'!B20</f>
        <v>92953</v>
      </c>
      <c r="C11" s="139">
        <f>'Cash Flow Statement'!C14+'Cash Flow Statement'!C20</f>
        <v>111443</v>
      </c>
      <c r="D11" s="139">
        <f>'Cash Flow Statement'!D14+'Cash Flow Statement'!D20</f>
        <v>99584</v>
      </c>
      <c r="E11" s="139">
        <f>'Cash Flow Statement'!E14+'Cash Flow Statement'!E20</f>
        <v>108807</v>
      </c>
      <c r="F11" s="143">
        <f>'Cash Flow Statement'!F14+'Cash Flow Statement'!F20</f>
        <v>98767</v>
      </c>
      <c r="G11" s="139">
        <f>'Cash Flow Statement'!G14+'Cash Flow Statement'!G20</f>
        <v>130940.88816955617</v>
      </c>
      <c r="H11" s="139">
        <f>'Cash Flow Statement'!H14+'Cash Flow Statement'!H20</f>
        <v>138923.97694263587</v>
      </c>
      <c r="I11" s="143">
        <f>'Cash Flow Statement'!I14+'Cash Flow Statement'!I20</f>
        <v>146800.11967984936</v>
      </c>
    </row>
    <row r="12" spans="1:9" ht="15" customHeight="1" x14ac:dyDescent="0.2">
      <c r="A12" s="24" t="s">
        <v>169</v>
      </c>
      <c r="B12" s="142">
        <v>16864.919000000002</v>
      </c>
      <c r="C12" s="142">
        <v>16325.819</v>
      </c>
      <c r="D12" s="142">
        <v>15812.547</v>
      </c>
      <c r="E12" s="142">
        <v>15408.094999999999</v>
      </c>
      <c r="F12" s="146">
        <v>15004.697</v>
      </c>
      <c r="G12" s="142">
        <f>Assumptions!B19</f>
        <v>14630</v>
      </c>
      <c r="H12" s="142">
        <f>Assumptions!C19</f>
        <v>14264</v>
      </c>
      <c r="I12" s="146">
        <f>Assumptions!D19</f>
        <v>13907</v>
      </c>
    </row>
  </sheetData>
  <mergeCells count="4">
    <mergeCell ref="A1:I1"/>
    <mergeCell ref="B2:F2"/>
    <mergeCell ref="G2:I2"/>
    <mergeCell ref="A3:I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 Statement</vt:lpstr>
      <vt:lpstr>DCF Valuation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Talal Ahmed Butt</cp:lastModifiedBy>
  <cp:revision>0</cp:revision>
  <dcterms:created xsi:type="dcterms:W3CDTF">2026-06-09T20:09:11Z</dcterms:created>
  <dcterms:modified xsi:type="dcterms:W3CDTF">2026-07-16T15:26:29Z</dcterms:modified>
  <dc:language>en-US</dc:language>
</cp:coreProperties>
</file>